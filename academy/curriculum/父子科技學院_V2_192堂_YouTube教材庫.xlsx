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2779bbabd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b706e487d4ad4373"/>
    <x:sheet xmlns:r="http://schemas.openxmlformats.org/officeDocument/2006/relationships" name="4年路線圖" sheetId="2" r:id="R2286aac4e9dd4f26"/>
    <x:sheet xmlns:r="http://schemas.openxmlformats.org/officeDocument/2006/relationships" name="逐堂課程" sheetId="3" r:id="R91627c32ed7241de"/>
    <x:sheet xmlns:r="http://schemas.openxmlformats.org/officeDocument/2006/relationships" name="教學紀錄" sheetId="4" r:id="R59bbb7d7be984a3a"/>
    <x:sheet xmlns:r="http://schemas.openxmlformats.org/officeDocument/2006/relationships" name="儀表板" sheetId="5" r:id="R568aabffcc334195"/>
    <x:sheet xmlns:r="http://schemas.openxmlformats.org/officeDocument/2006/relationships" name="資源庫" sheetId="6" r:id="R665c8825a22342b9"/>
    <x:sheet xmlns:r="http://schemas.openxmlformats.org/officeDocument/2006/relationships" name="內容製作流程" sheetId="7" r:id="Rc45e98fd2d044e47"/>
    <x:sheet xmlns:r="http://schemas.openxmlformats.org/officeDocument/2006/relationships" name="YouTube教材庫" sheetId="8" r:id="Re4937bfc3d2e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.0%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sz val="10"/>
      <x:name val="Menl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1F4E78"/>
      <x:name val="Menlo"/>
    </x:font>
    <x:font>
      <x:b/>
      <x:sz val="10"/>
      <x:color rgb="FFFFFFFF"/>
      <x:name val="Menl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0F6B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203" fontId="6" fillId="6" borderId="0" xfId="0" applyNumberFormat="1" applyFont="1" applyFill="1" applyBorder="1" applyAlignment="1">
      <x:alignment wrapText="1"/>
    </x:xf>
    <x:xf numFmtId="202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203" fontId="6" fillId="6" borderId="0" xfId="0" applyNumberFormat="1" applyFont="1" applyFill="1" applyBorder="1" applyAlignment="1">
      <x:alignment horizontal="center" wrapText="1"/>
    </x:xf>
    <x:xf numFmtId="202" fontId="6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203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3" fontId="6" fillId="6" borderId="1" xfId="0" applyNumberFormat="1" applyFont="1" applyFill="1" applyBorder="1" applyAlignment="1">
      <x:alignment wrapText="1"/>
    </x:xf>
    <x:xf numFmtId="202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203" fontId="6" fillId="6" borderId="1" xfId="0" applyNumberFormat="1" applyFont="1" applyFill="1" applyBorder="1" applyAlignment="1">
      <x:alignment horizontal="center" wrapText="1"/>
    </x:xf>
    <x:xf numFmtId="202" fontId="6" fillId="6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horizontal="left"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horizontal="center" vertical="top" wrapText="1"/>
    </x:xf>
    <x:xf numFmtId="0" fontId="10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5b13cda25400f" /><Relationship Type="http://schemas.openxmlformats.org/officeDocument/2006/relationships/theme" Target="/xl/theme/theme1.xml" Id="Reebac180709042c1" /><Relationship Type="http://schemas.openxmlformats.org/officeDocument/2006/relationships/sharedStrings" Target="/xl/sharedStrings.xml" Id="R7490d71aeae742f9" /><Relationship Type="http://schemas.openxmlformats.org/officeDocument/2006/relationships/worksheet" Target="/xl/worksheets/sheet1.xml" Id="Rb706e487d4ad4373" /><Relationship Type="http://schemas.openxmlformats.org/officeDocument/2006/relationships/worksheet" Target="/xl/worksheets/sheet2.xml" Id="R2286aac4e9dd4f26" /><Relationship Type="http://schemas.openxmlformats.org/officeDocument/2006/relationships/worksheet" Target="/xl/worksheets/sheet3.xml" Id="R91627c32ed7241de" /><Relationship Type="http://schemas.openxmlformats.org/officeDocument/2006/relationships/worksheet" Target="/xl/worksheets/sheet4.xml" Id="R59bbb7d7be984a3a" /><Relationship Type="http://schemas.openxmlformats.org/officeDocument/2006/relationships/worksheet" Target="/xl/worksheets/sheet5.xml" Id="R568aabffcc334195" /><Relationship Type="http://schemas.openxmlformats.org/officeDocument/2006/relationships/worksheet" Target="/xl/worksheets/sheet6.xml" Id="R665c8825a22342b9" /><Relationship Type="http://schemas.openxmlformats.org/officeDocument/2006/relationships/worksheet" Target="/xl/worksheets/sheet7.xml" Id="Rc45e98fd2d044e47" /><Relationship Type="http://schemas.openxmlformats.org/officeDocument/2006/relationships/worksheet" Target="/xl/worksheets/sheet8.xml" Id="Re4937bfc3d2e4d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740a3fb9594b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各模組完成堂數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總堂數</c:v>
          </c:tx>
          <c:cat>
            <c:strRef>
              <c:f>'儀表板'!$A$15:$A$26</c:f>
              <c:strCache>
                <c:ptCount val="0"/>
              </c:strCache>
            </c:strRef>
          </c:cat>
          <c:val>
            <c:numRef>
              <c:f>'儀表板'!$B$15:$B$26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已完成</c:v>
          </c:tx>
          <c:cat>
            <c:strRef>
              <c:f>'儀表板'!$A$15:$A$26</c:f>
              <c:strCache>
                <c:ptCount val="0"/>
              </c:strCache>
            </c:strRef>
          </c:cat>
          <c:val>
            <c:numRef>
              <c:f>'儀表板'!$C$15:$C$26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740a3fb9594b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Table" displayName="RoadmapTable" ref="A1:I13" headerRowCount="1">
  <x:tableColumns count="9">
    <x:tableColumn id="1" name="年度"/>
    <x:tableColumn id="2" name="模組 ID"/>
    <x:tableColumn id="3" name="模組名稱"/>
    <x:tableColumn id="4" name="堂數"/>
    <x:tableColumn id="5" name="主軸能力"/>
    <x:tableColumn id="6" name="模組成果"/>
    <x:tableColumn id="7" name="設備／材料"/>
    <x:tableColumn id="8" name="離開模組時應具備能力"/>
    <x:tableColumn id="9" name="主要資源 ID"/>
  </x:tableColumns>
  <x:tableStyleInfo name="TableStyleMedium2" showRowStripes="1"/>
</x:table>
</file>

<file path=xl/tables/table2.xml><?xml version="1.0" encoding="utf-8"?>
<x:table xmlns:x="http://schemas.openxmlformats.org/spreadsheetml/2006/main" id="2" name="CurriculumTable" displayName="CurriculumTable" ref="A1:T193" headerRowCount="1">
  <x:tableColumns count="20">
    <x:tableColumn id="1" name="總課次"/>
    <x:tableColumn id="2" name="年度"/>
    <x:tableColumn id="3" name="模組"/>
    <x:tableColumn id="4" name="模組內課次"/>
    <x:tableColumn id="5" name="課程主題"/>
    <x:tableColumn id="6" name="主軸"/>
    <x:tableColumn id="7" name="學習目標"/>
    <x:tableColumn id="8" name="2 小時課程流程"/>
    <x:tableColumn id="9" name="動手任務"/>
    <x:tableColumn id="10" name="好玩機制"/>
    <x:tableColumn id="11" name="作品／交付"/>
    <x:tableColumn id="12" name="生活技能支線"/>
    <x:tableColumn id="13" name="家長課前準備"/>
    <x:tableColumn id="14" name="課後延伸"/>
    <x:tableColumn id="15" name="驗收標準"/>
    <x:tableColumn id="16" name="參考資源 ID"/>
    <x:tableColumn id="17" name="主要參考網址"/>
    <x:tableColumn id="18" name="錄音重點"/>
    <x:tableColumn id="19" name="建議 YouTube 標題"/>
    <x:tableColumn id="20" name="難度 1–5"/>
  </x:tableColumns>
  <x:tableStyleInfo name="TableStyleMedium2" showRowStripes="1"/>
</x:table>
</file>

<file path=xl/tables/table3.xml><?xml version="1.0" encoding="utf-8"?>
<x:table xmlns:x="http://schemas.openxmlformats.org/spreadsheetml/2006/main" id="3" name="TrackingTable" displayName="TrackingTable" ref="A1:R193" headerRowCount="1">
  <x:tableColumns count="18">
    <x:tableColumn id="1" name="總課次"/>
    <x:tableColumn id="2" name="模組"/>
    <x:tableColumn id="3" name="課程主題"/>
    <x:tableColumn id="4" name="預定日期"/>
    <x:tableColumn id="5" name="實際日期"/>
    <x:tableColumn id="6" name="狀態"/>
    <x:tableColumn id="7" name="興趣 1–5"/>
    <x:tableColumn id="8" name="理解 1–5"/>
    <x:tableColumn id="9" name="實作完成 %"/>
    <x:tableColumn id="10" name="錄音檔連結"/>
    <x:tableColumn id="11" name="文字稿連結"/>
    <x:tableColumn id="12" name="PPT 連結"/>
    <x:tableColumn id="13" name="TTS 連結"/>
    <x:tableColumn id="14" name="YouTube 連結"/>
    <x:tableColumn id="15" name="爸爸觀察"/>
    <x:tableColumn id="16" name="孩子回饋"/>
    <x:tableColumn id="17" name="下次調整"/>
    <x:tableColumn id="18" name="實際時數"/>
  </x:tableColumns>
  <x:tableStyleInfo name="TableStyleMedium2" showRowStripes="1"/>
</x:table>
</file>

<file path=xl/tables/table4.xml><?xml version="1.0" encoding="utf-8"?>
<x:table xmlns:x="http://schemas.openxmlformats.org/spreadsheetml/2006/main" id="4" name="ResourcesTable" displayName="ResourcesTable" ref="A1:H28" headerRowCount="1">
  <x:tableColumns count="8">
    <x:tableColumn id="1" name="資源 ID"/>
    <x:tableColumn id="2" name="類別"/>
    <x:tableColumn id="3" name="資源名稱"/>
    <x:tableColumn id="4" name="提供者"/>
    <x:tableColumn id="5" name="適合用途"/>
    <x:tableColumn id="6" name="程度"/>
    <x:tableColumn id="7" name="費用／設備"/>
    <x:tableColumn id="8" name="網址"/>
  </x:tableColumns>
  <x:tableStyleInfo name="TableStyleMedium2" showRowStripes="1"/>
</x:table>
</file>

<file path=xl/tables/table5.xml><?xml version="1.0" encoding="utf-8"?>
<x:table xmlns:x="http://schemas.openxmlformats.org/spreadsheetml/2006/main" id="5" name="PipelineTable" displayName="PipelineTable" ref="A4:H12" headerRowCount="1">
  <x:tableColumns count="8">
    <x:tableColumn id="1" name="步驟"/>
    <x:tableColumn id="2" name="輸入"/>
    <x:tableColumn id="3" name="操作"/>
    <x:tableColumn id="4" name="輸出"/>
    <x:tableColumn id="5" name="檔名規則"/>
    <x:tableColumn id="6" name="品質門檻"/>
    <x:tableColumn id="7" name="建議工具類型"/>
    <x:tableColumn id="8" name="家長審核"/>
  </x:tableColumns>
  <x:tableStyleInfo name="TableStyleMedium2" showRowStripes="1"/>
</x:table>
</file>

<file path=xl/tables/table6.xml><?xml version="1.0" encoding="utf-8"?>
<x:table xmlns:x="http://schemas.openxmlformats.org/spreadsheetml/2006/main" id="6" name="YouTubeLibraryTable" displayName="YouTubeLibraryTable" ref="A1:O577" headerRowCount="1">
  <x:tableColumns count="15">
    <x:tableColumn id="1" name="總課次"/>
    <x:tableColumn id="2" name="年度"/>
    <x:tableColumn id="3" name="模組"/>
    <x:tableColumn id="4" name="模組內課次"/>
    <x:tableColumn id="5" name="課程主題"/>
    <x:tableColumn id="6" name="影片序號"/>
    <x:tableColumn id="7" name="推薦取向"/>
    <x:tableColumn id="8" name="搜尋關鍵字"/>
    <x:tableColumn id="9" name="YouTube 動態搜尋連結"/>
    <x:tableColumn id="10" name="觀看時機"/>
    <x:tableColumn id="11" name="建議長度"/>
    <x:tableColumn id="12" name="挑選準則"/>
    <x:tableColumn id="13" name="使用狀態"/>
    <x:tableColumn id="14" name="最後選定影片標題"/>
    <x:tableColumn id="15" name="觀看／教學筆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85fca3ea074c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af15d93e0e4c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fbca48163d4b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c853d668ce245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b04a47efab145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cba727cad5d45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f6f51d0657542af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6" t="str">
        <x:v>父子科技學院｜4 年 192 堂完整計畫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4">
      <x:c r="A4" s="15" t="str">
        <x:v>設計前提</x:v>
      </x:c>
      <x:c r="B4" s="15"/>
      <x:c r="C4" s="15"/>
      <x:c r="D4" s="15"/>
      <x:c r="E4" s="15"/>
      <x:c r="F4" s="15"/>
      <x:c r="G4" s="15"/>
      <x:c r="H4" s="15"/>
    </x:row>
    <x:row r="5">
      <x:c r="A5" t="str">
        <x:v>起始年齡假設</x:v>
      </x:c>
      <x:c r="B5" t="str">
        <x:v>約 11–12 歲起步；可依實際程度前後移動 4–8 堂。</x:v>
      </x:c>
    </x:row>
    <x:row r="6">
      <x:c r="A6" t="str">
        <x:v>頻率</x:v>
      </x:c>
      <x:c r="B6" t="str">
        <x:v>每週 1 次，每次 2 小時。</x:v>
      </x:c>
    </x:row>
    <x:row r="7">
      <x:c r="A7" t="str">
        <x:v>規模</x:v>
      </x:c>
      <x:c r="B7" t="str">
        <x:v>4 年 × 每年 48 堂＝192 堂；每年保留約 4 週旅行、考試、補課或自由專題。</x:v>
      </x:c>
    </x:row>
    <x:row r="8">
      <x:c r="A8" t="str">
        <x:v>核心主軸</x:v>
      </x:c>
      <x:c r="B8" t="str">
        <x:v>AI、寫 Code、科技系統、機器人、電池/能源、數位安全、生活技能、內容創作。</x:v>
      </x:c>
    </x:row>
    <x:row r="9">
      <x:c r="A9" t="str">
        <x:v>主要設備</x:v>
      </x:c>
      <x:c r="B9" t="str">
        <x:v>孩子使用 MacBook Air；爸爸使用 Mac mini；作品以 GitHub/資料夾版本管理。</x:v>
      </x:c>
    </x:row>
    <x:row r="10">
      <x:c r="A10" t="str">
        <x:v>最終方向</x:v>
      </x:c>
      <x:c r="B10" t="str">
        <x:v>孩子能獨立發現問題、做出作品、驗證結果、公開表達，並把所學教給別人。</x:v>
      </x:c>
    </x:row>
    <x:row r="12">
      <x:c r="A12" s="15" t="str">
        <x:v>每堂 2 小時固定節奏</x:v>
      </x:c>
      <x:c r="B12" s="15"/>
      <x:c r="C12" s="15"/>
      <x:c r="D12" s="15"/>
      <x:c r="E12" s="15"/>
      <x:c r="F12" s="15"/>
      <x:c r="G12" s="15"/>
      <x:c r="H12" s="15"/>
    </x:row>
    <x:row r="13">
      <x:c r="A13" t="str">
        <x:v>階段</x:v>
      </x:c>
      <x:c r="B13" t="str">
        <x:v>時間</x:v>
      </x:c>
      <x:c r="C13" t="str">
        <x:v>做法</x:v>
      </x:c>
      <x:c r="D13" t="str">
        <x:v>爸爸角色</x:v>
      </x:c>
      <x:c r="E13" t="str">
        <x:v>孩子角色</x:v>
      </x:c>
      <x:c r="F13" t="str">
        <x:v>錄音素材</x:v>
      </x:c>
      <x:c r="G13" t="str">
        <x:v>避免事項</x:v>
      </x:c>
      <x:c r="H13" t="str">
        <x:v>完成條件</x:v>
      </x:c>
    </x:row>
    <x:row r="14">
      <x:c r="A14" t="str">
        <x:v>任務開場</x:v>
      </x:c>
      <x:c r="B14" t="str">
        <x:v>0–10 分</x:v>
      </x:c>
      <x:c r="C14" t="str">
        <x:v>用故事、挑戰或生活問題引發動機</x:v>
      </x:c>
      <x:c r="D14" t="str">
        <x:v>提出任務與限制</x:v>
      </x:c>
      <x:c r="E14" t="str">
        <x:v>猜測與提問</x:v>
      </x:c>
      <x:c r="F14" t="str">
        <x:v>問題與第一反應</x:v>
      </x:c>
      <x:c r="G14" t="str">
        <x:v>先講太多理論</x:v>
      </x:c>
      <x:c r="H14" t="str">
        <x:v>孩子知道今天要完成什麼</x:v>
      </x:c>
    </x:row>
    <x:row r="15">
      <x:c r="A15" t="str">
        <x:v>概念示範</x:v>
      </x:c>
      <x:c r="B15" t="str">
        <x:v>10–25 分</x:v>
      </x:c>
      <x:c r="C15" t="str">
        <x:v>只教完成任務所需的最少概念</x:v>
      </x:c>
      <x:c r="D15" t="str">
        <x:v>示範思考過程</x:v>
      </x:c>
      <x:c r="E15" t="str">
        <x:v>觀察並追問</x:v>
      </x:c>
      <x:c r="F15" t="str">
        <x:v>核心概念解釋</x:v>
      </x:c>
      <x:c r="G15" t="str">
        <x:v>一次塞太多名詞</x:v>
      </x:c>
      <x:c r="H15" t="str">
        <x:v>孩子能用自己的話重述</x:v>
      </x:c>
    </x:row>
    <x:row r="16">
      <x:c r="A16" t="str">
        <x:v>共同實作</x:v>
      </x:c>
      <x:c r="B16" t="str">
        <x:v>25–65 分</x:v>
      </x:c>
      <x:c r="C16" t="str">
        <x:v>父子 Pair Work，一人操作一人導航</x:v>
      </x:c>
      <x:c r="D16" t="str">
        <x:v>問問題、不搶鍵盤</x:v>
      </x:c>
      <x:c r="E16" t="str">
        <x:v>主要操作者</x:v>
      </x:c>
      <x:c r="F16" t="str">
        <x:v>卡關與解法</x:v>
      </x:c>
      <x:c r="G16" t="str">
        <x:v>爸爸直接代做</x:v>
      </x:c>
      <x:c r="H16" t="str">
        <x:v>完成可運作的第一版</x:v>
      </x:c>
    </x:row>
    <x:row r="17">
      <x:c r="A17" t="str">
        <x:v>休息</x:v>
      </x:c>
      <x:c r="B17" t="str">
        <x:v>65–75 分</x:v>
      </x:c>
      <x:c r="C17" t="str">
        <x:v>離開螢幕、喝水、走動</x:v>
      </x:c>
      <x:c r="D17" t="str">
        <x:v>聊天</x:v>
      </x:c>
      <x:c r="E17" t="str">
        <x:v>休息</x:v>
      </x:c>
      <x:c r="F17" t="str">
        <x:v>可不錄</x:v>
      </x:c>
      <x:c r="G17" t="str">
        <x:v>持續盯螢幕</x:v>
      </x:c>
      <x:c r="H17" t="str">
        <x:v>回來仍有精神</x:v>
      </x:c>
    </x:row>
    <x:row r="18">
      <x:c r="A18" t="str">
        <x:v>獨立改造</x:v>
      </x:c>
      <x:c r="B18" t="str">
        <x:v>75–105 分</x:v>
      </x:c>
      <x:c r="C18" t="str">
        <x:v>孩子增加一個自選功能</x:v>
      </x:c>
      <x:c r="D18" t="str">
        <x:v>只提供提示層級</x:v>
      </x:c>
      <x:c r="E18" t="str">
        <x:v>決策與實作</x:v>
      </x:c>
      <x:c r="F18" t="str">
        <x:v>設計取捨</x:v>
      </x:c>
      <x:c r="G18" t="str">
        <x:v>追求完美</x:v>
      </x:c>
      <x:c r="H18" t="str">
        <x:v>功能可展示或有明確失敗紀錄</x:v>
      </x:c>
    </x:row>
    <x:row r="19">
      <x:c r="A19" t="str">
        <x:v>Teach-back</x:v>
      </x:c>
      <x:c r="B19" t="str">
        <x:v>105–115 分</x:v>
      </x:c>
      <x:c r="C19" t="str">
        <x:v>孩子教爸爸操作與原理</x:v>
      </x:c>
      <x:c r="D19" t="str">
        <x:v>當學生、故意問笨問題</x:v>
      </x:c>
      <x:c r="E19" t="str">
        <x:v>當老師</x:v>
      </x:c>
      <x:c r="F19" t="str">
        <x:v>最佳旁白素材</x:v>
      </x:c>
      <x:c r="G19" t="str">
        <x:v>背稿</x:v>
      </x:c>
      <x:c r="H19" t="str">
        <x:v>爸爸能照說明重現</x:v>
      </x:c>
    </x:row>
    <x:row r="20">
      <x:c r="A20" t="str">
        <x:v>收尾</x:v>
      </x:c>
      <x:c r="B20" t="str">
        <x:v>115–120 分</x:v>
      </x:c>
      <x:c r="C20" t="str">
        <x:v>命名、版本、錄音總結、下次任務</x:v>
      </x:c>
      <x:c r="D20" t="str">
        <x:v>協助歸檔</x:v>
      </x:c>
      <x:c r="E20" t="str">
        <x:v>自評與選下次挑戰</x:v>
      </x:c>
      <x:c r="F20" t="str">
        <x:v>四問總結</x:v>
      </x:c>
      <x:c r="G20" t="str">
        <x:v>沒有存檔</x:v>
      </x:c>
      <x:c r="H20" t="str">
        <x:v>作品、紀錄、下一步都存在</x:v>
      </x:c>
    </x:row>
    <x:row r="21">
      <x:c r="A21" s="15" t="str">
        <x:v>教學原則與家長操作方式</x:v>
      </x:c>
      <x:c r="B21" s="15"/>
      <x:c r="C21" s="15"/>
      <x:c r="D21" s="15"/>
      <x:c r="E21" s="15"/>
      <x:c r="F21" s="15"/>
      <x:c r="G21" s="15"/>
      <x:c r="H21" s="15"/>
    </x:row>
    <x:row r="22">
      <x:c r="A22" t="str">
        <x:v>原則</x:v>
      </x:c>
      <x:c r="B22" t="str">
        <x:v>具體做法</x:v>
      </x:c>
      <x:c r="C22" t="str">
        <x:v>驗收方式</x:v>
      </x:c>
      <x:c r="D22" t="str">
        <x:v>原則</x:v>
      </x:c>
      <x:c r="E22" t="str">
        <x:v>具體做法</x:v>
      </x:c>
      <x:c r="F22" t="str">
        <x:v>驗收方式</x:v>
      </x:c>
      <x:c r="G22" t="str">
        <x:v>原則</x:v>
      </x:c>
      <x:c r="H22" t="str">
        <x:v>具體做法</x:v>
      </x:c>
    </x:row>
    <x:row r="23">
      <x:c r="A23" t="str">
        <x:v>作品驅動</x:v>
      </x:c>
      <x:c r="B23" t="str">
        <x:v>每 1–3 堂一定有可玩的東西</x:v>
      </x:c>
      <x:c r="C23" t="str">
        <x:v>能展示而非只會回答</x:v>
      </x:c>
      <x:c r="D23" t="str">
        <x:v>70/20/10</x:v>
      </x:c>
      <x:c r="E23" t="str">
        <x:v>約 70% 動手、20% 討論、10%整理</x:v>
      </x:c>
      <x:c r="F23" t="str">
        <x:v>檢查實作時間</x:v>
      </x:c>
      <x:c r="G23" t="str">
        <x:v>孩子主導</x:v>
      </x:c>
      <x:c r="H23" t="str">
        <x:v>鍵盤與滑鼠優先交給孩子</x:v>
      </x:c>
    </x:row>
    <x:row r="24">
      <x:c r="A24" t="str">
        <x:v>錯誤可見</x:v>
      </x:c>
      <x:c r="B24" t="str">
        <x:v>保留 Bug、失敗影片與修改紀錄</x:v>
      </x:c>
      <x:c r="C24" t="str">
        <x:v>能說明怎麼修</x:v>
      </x:c>
      <x:c r="D24" t="str">
        <x:v>AI 是副駕</x:v>
      </x:c>
      <x:c r="E24" t="str">
        <x:v>先想、再問 AI、最後驗證</x:v>
      </x:c>
      <x:c r="F24" t="str">
        <x:v>有查核紀錄</x:v>
      </x:c>
      <x:c r="G24" t="str">
        <x:v>角色互換</x:v>
      </x:c>
      <x:c r="H24" t="str">
        <x:v>每堂最後由孩子教爸爸</x:v>
      </x:c>
    </x:row>
    <x:row r="25">
      <x:c r="A25" t="str">
        <x:v>低風險真實任務</x:v>
      </x:c>
      <x:c r="B25" t="str">
        <x:v>用家庭、興趣與你的工程案例</x:v>
      </x:c>
      <x:c r="C25" t="str">
        <x:v>作品真的被使用</x:v>
      </x:c>
      <x:c r="D25" t="str">
        <x:v>隱私優先</x:v>
      </x:c>
      <x:c r="E25" t="str">
        <x:v>假資料、匿名資料、家長審核發布</x:v>
      </x:c>
      <x:c r="F25" t="str">
        <x:v>發布前清單</x:v>
      </x:c>
      <x:c r="G25" t="str">
        <x:v>短週期回饋</x:v>
      </x:c>
      <x:c r="H25" t="str">
        <x:v>每 4 堂做一次小回顧</x:v>
      </x:c>
    </x:row>
    <x:row r="26">
      <x:c r="A26" t="str">
        <x:v>難度可伸縮</x:v>
      </x:c>
      <x:c r="B26" t="str">
        <x:v>同一題有基本、進階、Boss 三層</x:v>
      </x:c>
      <x:c r="C26" t="str">
        <x:v>孩子可自主選層</x:v>
      </x:c>
      <x:c r="D26" t="str">
        <x:v>不以速度評價</x:v>
      </x:c>
      <x:c r="E26" t="str">
        <x:v>重視解釋、測試與改進</x:v>
      </x:c>
      <x:c r="F26" t="str">
        <x:v>看過程證據</x:v>
      </x:c>
      <x:c r="G26" t="str">
        <x:v>保留自由週</x:v>
      </x:c>
      <x:c r="H26" t="str">
        <x:v>補課、旅行或孩子自選題</x:v>
      </x:c>
    </x:row>
    <x:row r="27">
      <x:c r="A27" t="str">
        <x:v>內容資產化</x:v>
      </x:c>
      <x:c r="B27" t="str">
        <x:v>錄音→文字稿→PPT→TTS→影片</x:v>
      </x:c>
      <x:c r="C27" t="str">
        <x:v>每模組至少 1 支成片</x:v>
      </x:c>
      <x:c r="D27" t="str">
        <x:v>版本管理</x:v>
      </x:c>
      <x:c r="E27" t="str">
        <x:v>檔名、資料夾、README、來源表</x:v>
      </x:c>
      <x:c r="F27" t="str">
        <x:v>能找到舊版本</x:v>
      </x:c>
      <x:c r="G27" t="str">
        <x:v>長期作品集</x:v>
      </x:c>
      <x:c r="H27" t="str">
        <x:v>每年整理一個公開/家庭作品集</x:v>
      </x:c>
    </x:row>
    <x:row r="28">
      <x:c r="A28" t="str">
        <x:v>親子關係優先</x:v>
      </x:c>
      <x:c r="B28" t="str">
        <x:v>卡住時先休息，不把課變成考試</x:v>
      </x:c>
      <x:c r="C28" t="str">
        <x:v>孩子仍期待下週</x:v>
      </x:c>
      <x:c r="D28" t="str">
        <x:v>真實責任</x:v>
      </x:c>
      <x:c r="E28" t="str">
        <x:v>涉及安全、帳號、付費、公開由家長把關</x:v>
      </x:c>
      <x:c r="F28" t="str">
        <x:v>零未授權發布</x:v>
      </x:c>
      <x:c r="G28" t="str">
        <x:v>可調整</x:v>
      </x:c>
      <x:c r="H28" t="str">
        <x:v>興趣低於 3 分連兩堂就換玩法</x:v>
      </x:c>
    </x:row>
    <x:row r="30">
      <x:c r="A30" s="15" t="str">
        <x:v>建議資料夾結構</x:v>
      </x:c>
      <x:c r="B30" s="15"/>
      <x:c r="C30" s="15"/>
      <x:c r="D30" s="15"/>
      <x:c r="E30" s="15"/>
      <x:c r="F30" s="15"/>
      <x:c r="G30" s="15"/>
      <x:c r="H30" s="15"/>
    </x:row>
    <x:row r="31">
      <x:c r="A31" s="23" t="str">
        <x:v>Family-Tech-Academy/
├── 00_Admin/（課表、規範、設備、帳號清單）
├── 01_Curriculum/（每堂講義與參考資料）
├── 02_Projects/
│   ├── Y1_M01/
│   ├── Y1_M02/
│   └── ...
├── 03_Recordings/YYYY-MM-DD_S###_主題/
│   ├── audio_raw/
│   ├── transcript/
│   ├── slides/
│   ├── tts/
│   ├── video/
│   └── sources/
├── 04_Portfolio/
└── 99_Archive/</x:v>
      </x:c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90" t="str">
        <x:v>V2.0｜YouTube 教材庫使用方式</x:v>
      </x:c>
      <x:c r="B33" s="90"/>
      <x:c r="C33" s="90"/>
      <x:c r="D33" s="90"/>
      <x:c r="E33" s="90"/>
      <x:c r="F33" s="90"/>
      <x:c r="G33" s="90"/>
      <x:c r="H33" s="90"/>
    </x:row>
    <x:row r="34">
      <x:c r="A34" s="94" t="str">
        <x:v>項目</x:v>
      </x:c>
      <x:c r="B34" s="94" t="str">
        <x:v>說明</x:v>
      </x:c>
      <x:c r="C34" s="94" t="str"/>
      <x:c r="D34" s="94" t="str"/>
      <x:c r="E34" s="94" t="str"/>
      <x:c r="F34" s="94" t="str"/>
      <x:c r="G34" s="94" t="str"/>
      <x:c r="H34" s="94" t="str"/>
    </x:row>
    <x:row r="35">
      <x:c r="A35" s="23" t="str">
        <x:v>每堂 3 組</x:v>
      </x:c>
      <x:c r="B35" s="23" t="str">
        <x:v>概念入門、跟做實作、中文延伸／倫理安全；共 192 × 3＝576 組。</x:v>
      </x:c>
      <x:c r="C35" s="23" t="str"/>
      <x:c r="D35" s="23" t="str"/>
      <x:c r="E35" s="23" t="str"/>
      <x:c r="F35" s="23" t="str"/>
      <x:c r="G35" s="23" t="str"/>
      <x:c r="H35" s="23" t="str"/>
    </x:row>
    <x:row r="36">
      <x:c r="A36" s="23" t="str">
        <x:v>連結設計</x:v>
      </x:c>
      <x:c r="B36" s="23" t="str">
        <x:v>採 YouTube 動態搜尋連結，避免固定影片日後下架、改名或內容過時。上課前請在教材庫試看並把狀態改為「✓ 已採用」。</x:v>
      </x:c>
      <x:c r="C36" s="23" t="str"/>
      <x:c r="D36" s="23" t="str"/>
      <x:c r="E36" s="23" t="str"/>
      <x:c r="F36" s="23" t="str"/>
      <x:c r="G36" s="23" t="str"/>
      <x:c r="H36" s="23" t="str"/>
    </x:row>
    <x:row r="37">
      <x:c r="A37" s="23" t="str">
        <x:v>挑片原則</x:v>
      </x:c>
      <x:c r="B37" s="23" t="str">
        <x:v>優先官方／教育頻道、近年更新、畫面清楚、無不當廣告或置入；兒童帳號觀看時由家長陪同。</x:v>
      </x:c>
      <x:c r="C37" s="23" t="str"/>
      <x:c r="D37" s="23" t="str"/>
      <x:c r="E37" s="23" t="str"/>
      <x:c r="F37" s="23" t="str"/>
      <x:c r="G37" s="23" t="str"/>
      <x:c r="H37" s="23" t="str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</x:sheetData>
  <x:mergeCells>
    <x:mergeCell ref="A1:H2"/>
    <x:mergeCell ref="A4:H4"/>
    <x:mergeCell ref="A12:H12"/>
    <x:mergeCell ref="A21:H21"/>
    <x:mergeCell ref="A30:H30"/>
    <x:mergeCell ref="A31:H39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8" hidden="0" customWidth="1"/>
    <x:col min="5" max="5" width="28" hidden="0" customWidth="1"/>
    <x:col min="6" max="6" width="36" hidden="0" customWidth="1"/>
    <x:col min="7" max="7" width="38" hidden="0" customWidth="1"/>
    <x:col min="8" max="8" width="44" hidden="0" customWidth="1"/>
    <x:col min="9" max="9" width="20" hidden="0" customWidth="1"/>
  </x:cols>
  <x:sheetData>
    <x:row r="1" ht="28" customHeight="1">
      <x:c r="A1" s="32" t="str">
        <x:v>年度</x:v>
      </x:c>
      <x:c r="B1" s="32" t="str">
        <x:v>模組 ID</x:v>
      </x:c>
      <x:c r="C1" s="32" t="str">
        <x:v>模組名稱</x:v>
      </x:c>
      <x:c r="D1" s="32" t="str">
        <x:v>堂數</x:v>
      </x:c>
      <x:c r="E1" s="32" t="str">
        <x:v>主軸能力</x:v>
      </x:c>
      <x:c r="F1" s="32" t="str">
        <x:v>模組成果</x:v>
      </x:c>
      <x:c r="G1" s="32" t="str">
        <x:v>設備／材料</x:v>
      </x:c>
      <x:c r="H1" s="32" t="str">
        <x:v>離開模組時應具備能力</x:v>
      </x:c>
      <x:c r="I1" s="32" t="str">
        <x:v>主要資源 ID</x:v>
      </x:c>
    </x:row>
    <x:row r="2" ht="72" customHeight="1">
      <x:c r="A2" s="38" t="str">
        <x:v>第 1 年</x:v>
      </x:c>
      <x:c r="B2" s="38" t="str">
        <x:v>M01</x:v>
      </x:c>
      <x:c r="C2" s="38" t="str">
        <x:v>數位探險家：Mac、網路、AI 與安全</x:v>
      </x:c>
      <x:c r="D2" s="38" t="n">
        <x:v>16</x:v>
      </x:c>
      <x:c r="E2" s="38" t="str">
        <x:v>數位素養／AI 素養／網路安全</x:v>
      </x:c>
      <x:c r="F2" s="38" t="str">
        <x:v>家庭版「數位安全逃脫室」＋個人數位公民手冊</x:v>
      </x:c>
      <x:c r="G2" s="38" t="str">
        <x:v>MacBook Air、瀏覽器、耳機麥克風、家庭常見郵件/訊息範例</x:v>
      </x:c>
      <x:c r="H2" s="38" t="str">
        <x:v>能整理檔案、有效搜尋、辨識常見詐騙、以可驗證方式使用 AI</x:v>
      </x:c>
      <x:c r="I2" s="38" t="str">
        <x:v>R01,R20,R21,R22,R23,R24</x:v>
      </x:c>
    </x:row>
    <x:row r="3" ht="72" customHeight="1">
      <x:c r="A3" s="38" t="str">
        <x:v>第 1 年</x:v>
      </x:c>
      <x:c r="B3" s="38" t="str">
        <x:v>M02</x:v>
      </x:c>
      <x:c r="C3" s="38" t="str">
        <x:v>Scratch 創意遊戲與計算思維</x:v>
      </x:c>
      <x:c r="D3" s="38" t="n">
        <x:v>16</x:v>
      </x:c>
      <x:c r="E3" s="38" t="str">
        <x:v>計算思維／視覺化程式／遊戲設計</x:v>
      </x:c>
      <x:c r="F3" s="38" t="str">
        <x:v>一款可公開遊玩的 Scratch 原創遊戲</x:v>
      </x:c>
      <x:c r="G3" s="38" t="str">
        <x:v>MacBook Air、Scratch 帳號、紙筆、可選手繪素材</x:v>
      </x:c>
      <x:c r="H3" s="38" t="str">
        <x:v>能使用事件、迴圈、條件、變數、訊息、分身與除錯完成遊戲</x:v>
      </x:c>
      <x:c r="I3" s="38" t="str">
        <x:v>R02,R03</x:v>
      </x:c>
    </x:row>
    <x:row r="4" ht="72" customHeight="1">
      <x:c r="A4" s="38" t="str">
        <x:v>第 1 年</x:v>
      </x:c>
      <x:c r="B4" s="38" t="str">
        <x:v>M03</x:v>
      </x:c>
      <x:c r="C4" s="38" t="str">
        <x:v>AI 創作與 YouTube 媒體工坊</x:v>
      </x:c>
      <x:c r="D4" s="38" t="n">
        <x:v>16</x:v>
      </x:c>
      <x:c r="E4" s="38" t="str">
        <x:v>生成式 AI／敘事／錄音／簡報／TTS／影音</x:v>
      </x:c>
      <x:c r="F4" s="38" t="str">
        <x:v>一支 3–5 分鐘、來源清楚的父子科技科普影片</x:v>
      </x:c>
      <x:c r="G4" s="38" t="str">
        <x:v>MacBook Air、耳機麥克風、手機腳架（選配）、簡報與剪輯工具</x:v>
      </x:c>
      <x:c r="H4" s="38" t="str">
        <x:v>能把課程錄音轉為文字、簡報、旁白與安全可發布的影片素材</x:v>
      </x:c>
      <x:c r="I4" s="38" t="str">
        <x:v>R20,R21,R26</x:v>
      </x:c>
    </x:row>
    <x:row r="5" ht="72" customHeight="1">
      <x:c r="A5" s="38" t="str">
        <x:v>第 2 年</x:v>
      </x:c>
      <x:c r="B5" s="38" t="str">
        <x:v>M04</x:v>
      </x:c>
      <x:c r="C5" s="38" t="str">
        <x:v>Python 冒險：從文字到小遊戲</x:v>
      </x:c>
      <x:c r="D5" s="38" t="n">
        <x:v>16</x:v>
      </x:c>
      <x:c r="E5" s="38" t="str">
        <x:v>Python／邏輯／資料結構／文字遊戲</x:v>
      </x:c>
      <x:c r="F5" s="38" t="str">
        <x:v>一款可在終端機玩的文字 RPG</x:v>
      </x:c>
      <x:c r="G5" s="38" t="str">
        <x:v>MacBook Air、VS Code 或瀏覽器 Python 編輯器、GitHub（選配）</x:v>
      </x:c>
      <x:c r="H5" s="38" t="str">
        <x:v>能獨立撰寫含函式、資料結構、檔案與錯誤處理的 Python 小程式</x:v>
      </x:c>
      <x:c r="I5" s="38" t="str">
        <x:v>R11,R12,R13,R16</x:v>
      </x:c>
    </x:row>
    <x:row r="6" ht="72" customHeight="1">
      <x:c r="A6" s="38" t="str">
        <x:v>第 2 年</x:v>
      </x:c>
      <x:c r="B6" s="38" t="str">
        <x:v>M05</x:v>
      </x:c>
      <x:c r="C6" s="38" t="str">
        <x:v>Web 創作者：我的第一個網站</x:v>
      </x:c>
      <x:c r="D6" s="38" t="n">
        <x:v>16</x:v>
      </x:c>
      <x:c r="E6" s="38" t="str">
        <x:v>HTML／CSS／JavaScript／Web 發布</x:v>
      </x:c>
      <x:c r="F6" s="38" t="str">
        <x:v>個人科技博物館網站並公開展示</x:v>
      </x:c>
      <x:c r="G6" s="38" t="str">
        <x:v>MacBook Air、VS Code、瀏覽器、GitHub Pages</x:v>
      </x:c>
      <x:c r="H6" s="38" t="str">
        <x:v>能完成具結構、樣式、互動、表單、基本可及性與版本控制的網站</x:v>
      </x:c>
      <x:c r="I6" s="38" t="str">
        <x:v>R14,R15,R17</x:v>
      </x:c>
    </x:row>
    <x:row r="7" ht="72" customHeight="1">
      <x:c r="A7" s="38" t="str">
        <x:v>第 2 年</x:v>
      </x:c>
      <x:c r="B7" s="38" t="str">
        <x:v>M06</x:v>
      </x:c>
      <x:c r="C7" s="38" t="str">
        <x:v>Maker Lab：micro:bit 電子與感測</x:v>
      </x:c>
      <x:c r="D7" s="38" t="n">
        <x:v>16</x:v>
      </x:c>
      <x:c r="E7" s="38" t="str">
        <x:v>電子／感測器／無線通訊／實體運算</x:v>
      </x:c>
      <x:c r="F7" s="38" t="str">
        <x:v>可穿戴裝置或智慧房間小系統</x:v>
      </x:c>
      <x:c r="G7" s="38" t="str">
        <x:v>micro:bit、USB 線、電池盒、鱷魚夾、LED/蜂鳴器/伺服馬達（選配）</x:v>
      </x:c>
      <x:c r="H7" s="38" t="str">
        <x:v>能安全接線、讀取感測器、控制輸出、通訊、記錄資料並完成原型</x:v>
      </x:c>
      <x:c r="I7" s="38" t="str">
        <x:v>R05,R06,R18</x:v>
      </x:c>
    </x:row>
    <x:row r="8" ht="72" customHeight="1">
      <x:c r="A8" s="38" t="str">
        <x:v>第 3 年</x:v>
      </x:c>
      <x:c r="B8" s="38" t="str">
        <x:v>M07</x:v>
      </x:c>
      <x:c r="C8" s="38" t="str">
        <x:v>Python 進階、Git 與軟體工程</x:v>
      </x:c>
      <x:c r="D8" s="38" t="n">
        <x:v>16</x:v>
      </x:c>
      <x:c r="E8" s="38" t="str">
        <x:v>CLI／Git／GitHub／測試／軟體設計</x:v>
      </x:c>
      <x:c r="F8" s="38" t="str">
        <x:v>具版本控制、測試與文件的 Python CLI 工具</x:v>
      </x:c>
      <x:c r="G8" s="38" t="str">
        <x:v>MacBook Air、Terminal、VS Code、Git、GitHub</x:v>
      </x:c>
      <x:c r="H8" s="38" t="str">
        <x:v>能以 repo 為單位開發、提交、分支、測試、除錯、Code Review 與發布</x:v>
      </x:c>
      <x:c r="I8" s="38" t="str">
        <x:v>R14,R15,R16</x:v>
      </x:c>
    </x:row>
    <x:row r="9" ht="72" customHeight="1">
      <x:c r="A9" s="38" t="str">
        <x:v>第 3 年</x:v>
      </x:c>
      <x:c r="B9" s="38" t="str">
        <x:v>M08</x:v>
      </x:c>
      <x:c r="C9" s="38" t="str">
        <x:v>資料科學與電池／能源探險</x:v>
      </x:c>
      <x:c r="D9" s="38" t="n">
        <x:v>16</x:v>
      </x:c>
      <x:c r="E9" s="38" t="str">
        <x:v>資料分析／視覺化／電池／能源／異常偵測</x:v>
      </x:c>
      <x:c r="F9" s="38" t="str">
        <x:v>一份電池或家庭能源資料儀表板與異常報告</x:v>
      </x:c>
      <x:c r="G9" s="38" t="str">
        <x:v>MacBook Air、Python、試算表、父親提供的匿名或模擬電池資料</x:v>
      </x:c>
      <x:c r="H9" s="38" t="str">
        <x:v>能清理、描述、畫圖、解讀與建立簡單規則模型，並分辨相關與因果</x:v>
      </x:c>
      <x:c r="I9" s="38" t="str">
        <x:v>R12,R16,R27</x:v>
      </x:c>
    </x:row>
    <x:row r="10" ht="72" customHeight="1">
      <x:c r="A10" s="38" t="str">
        <x:v>第 3 年</x:v>
      </x:c>
      <x:c r="B10" s="38" t="str">
        <x:v>M09</x:v>
      </x:c>
      <x:c r="C10" s="38" t="str">
        <x:v>機器學習、生成式 AI 與責任</x:v>
      </x:c>
      <x:c r="D10" s="38" t="n">
        <x:v>16</x:v>
      </x:c>
      <x:c r="E10" s="38" t="str">
        <x:v>機器學習／神經網路／LLM／偏差／評估</x:v>
      </x:c>
      <x:c r="F10" s="38" t="str">
        <x:v>一個有資料卡、模型卡與測試報告的 AI 小幫手</x:v>
      </x:c>
      <x:c r="G10" s="38" t="str">
        <x:v>MacBook Air、鏡頭/麥克風、Teachable Machine、Python（選配）</x:v>
      </x:c>
      <x:c r="H10" s="38" t="str">
        <x:v>能解釋資料、訓練、測試、偏差、LLM 預測、RAG、Prompt 與 Evals</x:v>
      </x:c>
      <x:c r="I10" s="38" t="str">
        <x:v>R07,R08,R09,R10,R19,R20,R21</x:v>
      </x:c>
    </x:row>
    <x:row r="11" ht="72" customHeight="1">
      <x:c r="A11" s="38" t="str">
        <x:v>第 4 年</x:v>
      </x:c>
      <x:c r="B11" s="38" t="str">
        <x:v>M10</x:v>
      </x:c>
      <x:c r="C11" s="38" t="str">
        <x:v>Robot 與 IoT：感知、決策、行動</x:v>
      </x:c>
      <x:c r="D11" s="38" t="n">
        <x:v>16</x:v>
      </x:c>
      <x:c r="E11" s="38" t="str">
        <x:v>機器人／控制／IoT／通訊／安全</x:v>
      </x:c>
      <x:c r="F11" s="38" t="str">
        <x:v>完成一個能感知環境、做決策並安全行動的機器人原型</x:v>
      </x:c>
      <x:c r="G11" s="38" t="str">
        <x:v>micro:bit/Arduino/Raspberry Pi Pico 或機器人底盤、感測器、馬達、電源</x:v>
      </x:c>
      <x:c r="H11" s="38" t="str">
        <x:v>能設計 sense-think-act 架構、狀態機/控制回路、通訊、失效保護與整合測試</x:v>
      </x:c>
      <x:c r="I11" s="38" t="str">
        <x:v>R05,R06,R18,R19</x:v>
      </x:c>
    </x:row>
    <x:row r="12" ht="72" customHeight="1">
      <x:c r="A12" s="38" t="str">
        <x:v>第 4 年</x:v>
      </x:c>
      <x:c r="B12" s="38" t="str">
        <x:v>M11</x:v>
      </x:c>
      <x:c r="C12" s="38" t="str">
        <x:v>AI Agent 與自動化工程</x:v>
      </x:c>
      <x:c r="D12" s="38" t="n">
        <x:v>16</x:v>
      </x:c>
      <x:c r="E12" s="38" t="str">
        <x:v>工作流／API／JSON／Agent／評估／Coding Agent</x:v>
      </x:c>
      <x:c r="F12" s="38" t="str">
        <x:v>一個可完成真實任務、具記錄、驗證與安全邊界的個人學習 Agent</x:v>
      </x:c>
      <x:c r="G12" s="38" t="str">
        <x:v>MacBook Air、Python、GitHub、可用的 AI 工具與測試資料</x:v>
      </x:c>
      <x:c r="H12" s="38" t="str">
        <x:v>能分辨 automation/agent，設計工具、記憶、規劃、執行、審查與 Evals</x:v>
      </x:c>
      <x:c r="I12" s="38" t="str">
        <x:v>R14,R16,R17,R20,R21</x:v>
      </x:c>
    </x:row>
    <x:row r="13" ht="72" customHeight="1">
      <x:c r="A13" s="38" t="str">
        <x:v>第 4 年</x:v>
      </x:c>
      <x:c r="B13" s="38" t="str">
        <x:v>M12</x:v>
      </x:c>
      <x:c r="C13" s="38" t="str">
        <x:v>獨立創作者：產品、研究、生活與傳承</x:v>
      </x:c>
      <x:c r="D13" s="38" t="n">
        <x:v>16</x:v>
      </x:c>
      <x:c r="E13" s="38" t="str">
        <x:v>產品思維／溝通／財務／安全／研究／畢業專題</x:v>
      </x:c>
      <x:c r="F13" s="38" t="str">
        <x:v>一個由孩子選題、規劃、開發、發布並教會別人的完整作品</x:v>
      </x:c>
      <x:c r="G13" s="38" t="str">
        <x:v>依專題決定；MacBook Air 為主要開發與內容製作設備</x:v>
      </x:c>
      <x:c r="H13" s="38" t="str">
        <x:v>能從問題到產品、從研究到證據、從作品到教學，並具基本生活管理能力</x:v>
      </x:c>
      <x:c r="I13" s="38" t="str">
        <x:v>R23,R25,R26,R27</x:v>
      </x:c>
    </x:row>
  </x:sheetData>
  <x:pageMargins left="0.7" right="0.7" top="0.75" bottom="0.75" header="0.3" footer="0.3"/>
  <x:tableParts count="1">
    <x:tablePart xmlns:r="http://schemas.openxmlformats.org/officeDocument/2006/relationships" r:id="R5a85fca3ea074c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34" hidden="0" customWidth="1"/>
    <x:col min="4" max="4" width="11" hidden="0" customWidth="1"/>
    <x:col min="5" max="5" width="34" hidden="0" customWidth="1"/>
    <x:col min="6" max="6" width="27" hidden="0" customWidth="1"/>
    <x:col min="7" max="7" width="42" hidden="0" customWidth="1"/>
    <x:col min="8" max="8" width="55" hidden="0" customWidth="1"/>
    <x:col min="9" max="9" width="44" hidden="0" customWidth="1"/>
    <x:col min="10" max="10" width="16" hidden="0" customWidth="1"/>
    <x:col min="11" max="11" width="30" hidden="0" customWidth="1"/>
    <x:col min="12" max="12" width="18" hidden="0" customWidth="1"/>
    <x:col min="13" max="13" width="45" hidden="0" customWidth="1"/>
    <x:col min="14" max="14" width="40" hidden="0" customWidth="1"/>
    <x:col min="15" max="15" width="46" hidden="0" customWidth="1"/>
    <x:col min="16" max="16" width="18" hidden="0" customWidth="1"/>
    <x:col min="17" max="17" width="48" hidden="0" customWidth="1"/>
    <x:col min="18" max="18" width="48" hidden="0" customWidth="1"/>
    <x:col min="19" max="19" width="42" hidden="0" customWidth="1"/>
    <x:col min="20" max="20" width="10" hidden="0" customWidth="1"/>
    <x:col min="21" max="21" width="28" hidden="0" customWidth="1"/>
    <x:col min="22" max="22" width="38" hidden="0" customWidth="1"/>
    <x:col min="23" max="23" width="18" hidden="0" customWidth="1"/>
    <x:col min="24" max="24" width="28" hidden="0" customWidth="1"/>
    <x:col min="25" max="25" width="38" hidden="0" customWidth="1"/>
    <x:col min="26" max="26" width="18" hidden="0" customWidth="1"/>
    <x:col min="27" max="27" width="28" hidden="0" customWidth="1"/>
    <x:col min="28" max="28" width="38" hidden="0" customWidth="1"/>
    <x:col min="29" max="29" width="18" hidden="0" customWidth="1"/>
  </x:cols>
  <x:sheetData>
    <x:row r="1" ht="28" customHeight="1">
      <x:c r="A1" s="32" t="str">
        <x:v>總課次</x:v>
      </x:c>
      <x:c r="B1" s="32" t="str">
        <x:v>年度</x:v>
      </x:c>
      <x:c r="C1" s="32" t="str">
        <x:v>模組</x:v>
      </x:c>
      <x:c r="D1" s="32" t="str">
        <x:v>模組內課次</x:v>
      </x:c>
      <x:c r="E1" s="32" t="str">
        <x:v>課程主題</x:v>
      </x:c>
      <x:c r="F1" s="32" t="str">
        <x:v>主軸</x:v>
      </x:c>
      <x:c r="G1" s="32" t="str">
        <x:v>學習目標</x:v>
      </x:c>
      <x:c r="H1" s="32" t="str">
        <x:v>2 小時課程流程</x:v>
      </x:c>
      <x:c r="I1" s="32" t="str">
        <x:v>動手任務</x:v>
      </x:c>
      <x:c r="J1" s="32" t="str">
        <x:v>好玩機制</x:v>
      </x:c>
      <x:c r="K1" s="32" t="str">
        <x:v>作品／交付</x:v>
      </x:c>
      <x:c r="L1" s="32" t="str">
        <x:v>生活技能支線</x:v>
      </x:c>
      <x:c r="M1" s="32" t="str">
        <x:v>家長課前準備</x:v>
      </x:c>
      <x:c r="N1" s="32" t="str">
        <x:v>課後延伸</x:v>
      </x:c>
      <x:c r="O1" s="32" t="str">
        <x:v>驗收標準</x:v>
      </x:c>
      <x:c r="P1" s="32" t="str">
        <x:v>參考資源 ID</x:v>
      </x:c>
      <x:c r="Q1" s="32" t="str">
        <x:v>主要參考網址</x:v>
      </x:c>
      <x:c r="R1" s="32" t="str">
        <x:v>錄音重點</x:v>
      </x:c>
      <x:c r="S1" s="32" t="str">
        <x:v>建議 YouTube 標題</x:v>
      </x:c>
      <x:c r="T1" s="32" t="str">
        <x:v>難度 1–5</x:v>
      </x:c>
      <x:c r="U1" s="87" t="str">
        <x:v>YouTube 關鍵字 1</x:v>
      </x:c>
      <x:c r="V1" s="87" t="str">
        <x:v>YouTube 連結 1</x:v>
      </x:c>
      <x:c r="W1" s="87" t="str">
        <x:v>影片用途 1</x:v>
      </x:c>
      <x:c r="X1" s="87" t="str">
        <x:v>YouTube 關鍵字 2</x:v>
      </x:c>
      <x:c r="Y1" s="87" t="str">
        <x:v>YouTube 連結 2</x:v>
      </x:c>
      <x:c r="Z1" s="87" t="str">
        <x:v>影片用途 2</x:v>
      </x:c>
      <x:c r="AA1" s="87" t="str">
        <x:v>YouTube 關鍵字 3</x:v>
      </x:c>
      <x:c r="AB1" s="87" t="str">
        <x:v>YouTube 連結 3</x:v>
      </x:c>
      <x:c r="AC1" s="87" t="str">
        <x:v>影片用途 3</x:v>
      </x:c>
    </x:row>
    <x:row r="2" ht="105" customHeight="1">
      <x:c r="A2" s="40" t="n">
        <x:v>1</x:v>
      </x:c>
      <x:c r="B2" s="40" t="str">
        <x:v>第 1 年</x:v>
      </x:c>
      <x:c r="C2" s="40" t="str">
        <x:v>M01 數位探險家：Mac、網路、AI 與安全</x:v>
      </x:c>
      <x:c r="D2" s="40" t="n">
        <x:v>1</x:v>
      </x:c>
      <x:c r="E2" s="40" t="str">
        <x:v>開學任務：把 MacBook 變成我的工作站</x:v>
      </x:c>
      <x:c r="F2" s="40" t="str">
        <x:v>數位素養／AI 素養／網路安全</x:v>
      </x:c>
      <x:c r="G2" s="40" t="str">
        <x:v>建立自己的帳號、桌面、Dock、輸入法與課程資料夾規則</x:v>
      </x:c>
      <x:c r="H2" s="40" t="str">
        <x:v>00–10 任務開場：開學任務：把 MacBook 變成我的工作站
10–25 概念示範：建立自己的帳號、桌面、Dock、輸入法與課程資料夾規則
25–65 父子共同實作：共同完成 Mac 初始化檢查表，設計桌布與資料夾徽章
65–75 休息／走動／聊天
75–105 孩子獨立改造：增加一個自選規則或功能
105–115 角色互換：孩子教爸爸操作與原理
115–120 錄音總結、作品命名、版本存檔</x:v>
      </x:c>
      <x:c r="I2" s="40" t="str">
        <x:v>共同完成 Mac 初始化檢查表，設計桌布與資料夾徽章</x:v>
      </x:c>
      <x:c r="J2" s="40" t="str">
        <x:v>尋寶</x:v>
      </x:c>
      <x:c r="K2" s="40" t="str">
        <x:v>個人工作站＋Tech Academy 資料夾</x:v>
      </x:c>
      <x:c r="L2" s="40" t="str">
        <x:v>自主管理</x:v>
      </x:c>
      <x:c r="M2" s="40" t="str">
        <x:v>確認兒童帳號、家庭備份與瀏覽器可用；準備不含真實個資的範例。</x:v>
      </x:c>
      <x:c r="N2" s="40" t="str">
        <x:v>15–30 分鐘自由改造；寫三句學習日誌：我做了什麼、哪裡卡住、下次想加什麼。</x:v>
      </x:c>
      <x:c r="O2" s="40" t="str">
        <x:v>完成「個人工作站＋Tech Academy 資料夾」；能不用看稿說出核心原理；能指出至少一個錯誤、限制或安全注意事項。</x:v>
      </x:c>
      <x:c r="P2" s="40" t="str">
        <x:v>R01</x:v>
      </x:c>
      <x:c r="Q2" s="40" t="str">
        <x:v>https://support.apple.com/guide/mac-help/welcome/mac</x:v>
      </x:c>
      <x:c r="R2" s="40" t="str">
        <x:v>請孩子回答：1. 開學任務：把 MacBook 變成我的工作站在解決什麼？2. 我怎麼做？3. 哪裡容易錯？4. 生活中哪裡會用到？</x:v>
      </x:c>
      <x:c r="S2" s="40" t="str">
        <x:v>父子科技課 #001｜開學任務：把 MacBook 變成我的工作站</x:v>
      </x:c>
      <x:c r="T2" s="40" t="n">
        <x:v>1</x:v>
      </x:c>
      <x:c r="U2" s="38" t="str">
        <x:v>開學任務 把 MacBook 變成我的工作站 Mac digital literacy internet safety beginner tutorial Apple</x:v>
      </x:c>
      <x:c r="V2" s="38" t="str">
        <x:v>https://www.youtube.com/results?search_query=%E9%96%8B%E5%AD%B8%E4%BB%BB%E5%8B%99+%E6%8A%8A+MacBook+%E8%AE%8A%E6%88%90%E6%88%91%E7%9A%84%E5%B7%A5%E4%BD%9C%E7%AB%99+Mac+digital+literacy+internet+safety+beginner+tutorial+Apple</x:v>
      </x:c>
      <x:c r="W2" s="38" t="str">
        <x:v>課前暖身</x:v>
      </x:c>
      <x:c r="X2" s="38" t="str">
        <x:v>開學任務 把 MacBook 變成我的工作站 建立自己的帳號、桌面、Dock、輸入法與課程資料夾規則 hands on project for kids Mac digital literacy internet</x:v>
      </x:c>
      <x:c r="Y2" s="38" t="str">
        <x:v>https://www.youtube.com/results?search_query=%E9%96%8B%E5%AD%B8%E4%BB%BB%E5%8B%99+%E6%8A%8A+MacBook+%E8%AE%8A%E6%88%90%E6%88%91%E7%9A%84%E5%B7%A5%E4%BD%9C%E7%AB%99+%E5%BB%BA%E7%AB%8B%E8%87%AA%E5%B7%B1%E7%9A%84%E5%B8%B3%E8%99%9F%E3%80%81%E6%A1%8C%E9%9D%A2%E3%80%81Dock%E3%80%81%E8%BC%B8%E5%85%A5%E6%B3%95%E8%88%87%E8%AA%B2%E7%A8%8B%E8%B3%87%E6%96%99%E5%A4%BE%E8%A6%8F%E5%89%87+hands+on+project+for+kids+Mac+digital+literacy+internet+safety</x:v>
      </x:c>
      <x:c r="Z2" s="38" t="str">
        <x:v>課中實作參考</x:v>
      </x:c>
      <x:c r="AA2" s="38" t="str">
        <x:v>開學任務 把 MacBook 變成我的工作站 中文 教學 原理 安全 親子 Mac digital literacy internet safety</x:v>
      </x:c>
      <x:c r="AB2" s="38" t="str">
        <x:v>https://www.youtube.com/results?search_query=%E9%96%8B%E5%AD%B8%E4%BB%BB%E5%8B%99+%E6%8A%8A+MacBook+%E8%AE%8A%E6%88%90%E6%88%91%E7%9A%84%E5%B7%A5%E4%BD%9C%E7%AB%99+%E4%B8%AD%E6%96%87+%E6%95%99%E5%AD%B8+%E5%8E%9F%E7%90%86+%E5%AE%89%E5%85%A8+%E8%A6%AA%E5%AD%90+Mac+digital+literacy+internet+safety</x:v>
      </x:c>
      <x:c r="AC2" s="38" t="str">
        <x:v>課後延伸／親子討論</x:v>
      </x:c>
    </x:row>
    <x:row r="3" ht="105" customHeight="1">
      <x:c r="A3" s="40" t="n">
        <x:v>2</x:v>
      </x:c>
      <x:c r="B3" s="40" t="str">
        <x:v>第 1 年</x:v>
      </x:c>
      <x:c r="C3" s="40" t="str">
        <x:v>M01 數位探險家：Mac、網路、AI 與安全</x:v>
      </x:c>
      <x:c r="D3" s="40" t="n">
        <x:v>2</x:v>
      </x:c>
      <x:c r="E3" s="40" t="str">
        <x:v>檔案與資料夾尋寶</x:v>
      </x:c>
      <x:c r="F3" s="40" t="str">
        <x:v>數位素養／AI 素養／網路安全</x:v>
      </x:c>
      <x:c r="G3" s="40" t="str">
        <x:v>理解檔名、副檔名、路徑、搜尋、複製、移動與備份</x:v>
      </x:c>
      <x:c r="H3" s="40" t="str">
        <x:v>00–10 任務開場：檔案與資料夾尋寶
10–25 概念示範：理解檔名、副檔名、路徑、搜尋、複製、移動與備份
25–65 父子共同實作：爸爸藏 12 個線索檔，孩子依路徑與檔案類型完成尋寶
65–75 休息／走動／聊天
75–105 孩子獨立改造：增加一個自選規則或功能
105–115 角色互換：孩子教爸爸操作與原理
115–120 錄音總結、作品命名、版本存檔</x:v>
      </x:c>
      <x:c r="I3" s="40" t="str">
        <x:v>爸爸藏 12 個線索檔，孩子依路徑與檔案類型完成尋寶</x:v>
      </x:c>
      <x:c r="J3" s="40" t="str">
        <x:v>競速</x:v>
      </x:c>
      <x:c r="K3" s="40" t="str">
        <x:v>一套可重複使用的資料夾結構</x:v>
      </x:c>
      <x:c r="L3" s="40" t="str">
        <x:v>自主管理</x:v>
      </x:c>
      <x:c r="M3" s="40" t="str">
        <x:v>確認兒童帳號、家庭備份與瀏覽器可用；準備不含真實個資的範例。</x:v>
      </x:c>
      <x:c r="N3" s="40" t="str">
        <x:v>15–30 分鐘自由改造；寫三句學習日誌：我做了什麼、哪裡卡住、下次想加什麼。</x:v>
      </x:c>
      <x:c r="O3" s="40" t="str">
        <x:v>完成「一套可重複使用的資料夾結構」；能不用看稿說出核心原理；能指出至少一個錯誤、限制或安全注意事項。</x:v>
      </x:c>
      <x:c r="P3" s="40" t="str">
        <x:v>R01</x:v>
      </x:c>
      <x:c r="Q3" s="40" t="str">
        <x:v>https://support.apple.com/guide/mac-help/welcome/mac</x:v>
      </x:c>
      <x:c r="R3" s="40" t="str">
        <x:v>請孩子回答：1. 檔案與資料夾尋寶在解決什麼？2. 我怎麼做？3. 哪裡容易錯？4. 生活中哪裡會用到？</x:v>
      </x:c>
      <x:c r="S3" s="40" t="str">
        <x:v>父子科技課 #002｜檔案與資料夾尋寶</x:v>
      </x:c>
      <x:c r="T3" s="40" t="n">
        <x:v>1</x:v>
      </x:c>
      <x:c r="U3" s="38" t="str">
        <x:v>檔案與資料夾尋寶 Mac digital literacy internet safety beginner tutorial Apple</x:v>
      </x:c>
      <x:c r="V3" s="38" t="str">
        <x:v>https://www.youtube.com/results?search_query=%E6%AA%94%E6%A1%88%E8%88%87%E8%B3%87%E6%96%99%E5%A4%BE%E5%B0%8B%E5%AF%B6+Mac+digital+literacy+internet+safety+beginner+tutorial+Apple</x:v>
      </x:c>
      <x:c r="W3" s="38" t="str">
        <x:v>課前暖身</x:v>
      </x:c>
      <x:c r="X3" s="38" t="str">
        <x:v>檔案與資料夾尋寶 理解檔名、副檔名、路徑、搜尋、複製、移動與備份 hands on project for kids Mac digital literacy internet safety</x:v>
      </x:c>
      <x:c r="Y3" s="38" t="str">
        <x:v>https://www.youtube.com/results?search_query=%E6%AA%94%E6%A1%88%E8%88%87%E8%B3%87%E6%96%99%E5%A4%BE%E5%B0%8B%E5%AF%B6+%E7%90%86%E8%A7%A3%E6%AA%94%E5%90%8D%E3%80%81%E5%89%AF%E6%AA%94%E5%90%8D%E3%80%81%E8%B7%AF%E5%BE%91%E3%80%81%E6%90%9C%E5%B0%8B%E3%80%81%E8%A4%87%E8%A3%BD%E3%80%81%E7%A7%BB%E5%8B%95%E8%88%87%E5%82%99%E4%BB%BD+hands+on+project+for+kids+Mac+digital+literacy+internet+safety</x:v>
      </x:c>
      <x:c r="Z3" s="38" t="str">
        <x:v>課中實作參考</x:v>
      </x:c>
      <x:c r="AA3" s="38" t="str">
        <x:v>檔案與資料夾尋寶 中文 教學 原理 安全 親子 Mac digital literacy internet safety</x:v>
      </x:c>
      <x:c r="AB3" s="38" t="str">
        <x:v>https://www.youtube.com/results?search_query=%E6%AA%94%E6%A1%88%E8%88%87%E8%B3%87%E6%96%99%E5%A4%BE%E5%B0%8B%E5%AF%B6+%E4%B8%AD%E6%96%87+%E6%95%99%E5%AD%B8+%E5%8E%9F%E7%90%86+%E5%AE%89%E5%85%A8+%E8%A6%AA%E5%AD%90+Mac+digital+literacy+internet+safety</x:v>
      </x:c>
      <x:c r="AC3" s="38" t="str">
        <x:v>課後延伸／親子討論</x:v>
      </x:c>
    </x:row>
    <x:row r="4" ht="105" customHeight="1">
      <x:c r="A4" s="40" t="n">
        <x:v>3</x:v>
      </x:c>
      <x:c r="B4" s="40" t="str">
        <x:v>第 1 年</x:v>
      </x:c>
      <x:c r="C4" s="40" t="str">
        <x:v>M01 數位探險家：Mac、網路、AI 與安全</x:v>
      </x:c>
      <x:c r="D4" s="40" t="n">
        <x:v>3</x:v>
      </x:c>
      <x:c r="E4" s="40" t="str">
        <x:v>鍵盤忍者：快捷鍵競速</x:v>
      </x:c>
      <x:c r="F4" s="40" t="str">
        <x:v>數位素養／AI 素養／網路安全</x:v>
      </x:c>
      <x:c r="G4" s="40" t="str">
        <x:v>熟悉複製貼上、切換 App、截圖、Spotlight 與復原</x:v>
      </x:c>
      <x:c r="H4" s="40" t="str">
        <x:v>00–10 任務開場：鍵盤忍者：快捷鍵競速
10–25 概念示範：熟悉複製貼上、切換 App、截圖、Spotlight 與復原
25–65 父子共同實作：進行三輪快捷鍵計時賽，最後由孩子設計爸爸的挑戰題
65–75 休息／走動／聊天
75–105 孩子獨立改造：增加一個自選規則或功能
105–115 角色互換：孩子教爸爸操作與原理
115–120 錄音總結、作品命名、版本存檔</x:v>
      </x:c>
      <x:c r="I4" s="40" t="str">
        <x:v>進行三輪快捷鍵計時賽，最後由孩子設計爸爸的挑戰題</x:v>
      </x:c>
      <x:c r="J4" s="40" t="str">
        <x:v>角色扮演</x:v>
      </x:c>
      <x:c r="K4" s="40" t="str">
        <x:v>快捷鍵小抄</x:v>
      </x:c>
      <x:c r="L4" s="40" t="str">
        <x:v>數位公民</x:v>
      </x:c>
      <x:c r="M4" s="40" t="str">
        <x:v>確認兒童帳號、家庭備份與瀏覽器可用；準備不含真實個資的範例。</x:v>
      </x:c>
      <x:c r="N4" s="40" t="str">
        <x:v>15–30 分鐘自由改造；寫三句學習日誌：我做了什麼、哪裡卡住、下次想加什麼。</x:v>
      </x:c>
      <x:c r="O4" s="40" t="str">
        <x:v>完成「快捷鍵小抄」；能不用看稿說出核心原理；能指出至少一個錯誤、限制或安全注意事項。</x:v>
      </x:c>
      <x:c r="P4" s="40" t="str">
        <x:v>R01</x:v>
      </x:c>
      <x:c r="Q4" s="40" t="str">
        <x:v>https://support.apple.com/guide/mac-help/welcome/mac</x:v>
      </x:c>
      <x:c r="R4" s="40" t="str">
        <x:v>請孩子回答：1. 鍵盤忍者：快捷鍵競速在解決什麼？2. 我怎麼做？3. 哪裡容易錯？4. 生活中哪裡會用到？</x:v>
      </x:c>
      <x:c r="S4" s="40" t="str">
        <x:v>父子科技課 #003｜鍵盤忍者：快捷鍵競速</x:v>
      </x:c>
      <x:c r="T4" s="40" t="n">
        <x:v>1</x:v>
      </x:c>
      <x:c r="U4" s="38" t="str">
        <x:v>鍵盤忍者 快捷鍵競速 Mac digital literacy internet safety beginner tutorial Apple</x:v>
      </x:c>
      <x:c r="V4" s="38" t="str">
        <x:v>https://www.youtube.com/results?search_query=%E9%8D%B5%E7%9B%A4%E5%BF%8D%E8%80%85+%E5%BF%AB%E6%8D%B7%E9%8D%B5%E7%AB%B6%E9%80%9F+Mac+digital+literacy+internet+safety+beginner+tutorial+Apple</x:v>
      </x:c>
      <x:c r="W4" s="38" t="str">
        <x:v>課前暖身</x:v>
      </x:c>
      <x:c r="X4" s="38" t="str">
        <x:v>鍵盤忍者 快捷鍵競速 熟悉複製貼上、切換 App、截圖、Spotlight 與復原 hands on project for kids Mac digital literacy internet</x:v>
      </x:c>
      <x:c r="Y4" s="38" t="str">
        <x:v>https://www.youtube.com/results?search_query=%E9%8D%B5%E7%9B%A4%E5%BF%8D%E8%80%85+%E5%BF%AB%E6%8D%B7%E9%8D%B5%E7%AB%B6%E9%80%9F+%E7%86%9F%E6%82%89%E8%A4%87%E8%A3%BD%E8%B2%BC%E4%B8%8A%E3%80%81%E5%88%87%E6%8F%9B+App%E3%80%81%E6%88%AA%E5%9C%96%E3%80%81Spotlight+%E8%88%87%E5%BE%A9%E5%8E%9F+hands+on+project+for+kids+Mac+digital+literacy+internet+safety</x:v>
      </x:c>
      <x:c r="Z4" s="38" t="str">
        <x:v>課中實作參考</x:v>
      </x:c>
      <x:c r="AA4" s="38" t="str">
        <x:v>鍵盤忍者 快捷鍵競速 中文 教學 原理 安全 親子 Mac digital literacy internet safety</x:v>
      </x:c>
      <x:c r="AB4" s="38" t="str">
        <x:v>https://www.youtube.com/results?search_query=%E9%8D%B5%E7%9B%A4%E5%BF%8D%E8%80%85+%E5%BF%AB%E6%8D%B7%E9%8D%B5%E7%AB%B6%E9%80%9F+%E4%B8%AD%E6%96%87+%E6%95%99%E5%AD%B8+%E5%8E%9F%E7%90%86+%E5%AE%89%E5%85%A8+%E8%A6%AA%E5%AD%90+Mac+digital+literacy+internet+safety</x:v>
      </x:c>
      <x:c r="AC4" s="38" t="str">
        <x:v>課後延伸／親子討論</x:v>
      </x:c>
    </x:row>
    <x:row r="5" ht="105" customHeight="1">
      <x:c r="A5" s="40" t="n">
        <x:v>4</x:v>
      </x:c>
      <x:c r="B5" s="40" t="str">
        <x:v>第 1 年</x:v>
      </x:c>
      <x:c r="C5" s="40" t="str">
        <x:v>M01 數位探險家：Mac、網路、AI 與安全</x:v>
      </x:c>
      <x:c r="D5" s="40" t="n">
        <x:v>4</x:v>
      </x:c>
      <x:c r="E5" s="40" t="str">
        <x:v>網路到底是什麼：封包接力賽</x:v>
      </x:c>
      <x:c r="F5" s="40" t="str">
        <x:v>數位素養／AI 素養／網路安全</x:v>
      </x:c>
      <x:c r="G5" s="40" t="str">
        <x:v>用生活比喻理解裝置、路由器、IP、DNS、伺服器與封包</x:v>
      </x:c>
      <x:c r="H5" s="40" t="str">
        <x:v>00–10 任務開場：網路到底是什麼：封包接力賽
10–25 概念示範：用生活比喻理解裝置、路由器、IP、DNS、伺服器與封包
25–65 父子共同實作：用信封、地址卡與路由站角色扮演傳送一張圖片
65–75 休息／走動／聊天
75–105 孩子獨立改造：增加一個自選規則或功能
105–115 角色互換：孩子教爸爸操作與原理
115–120 錄音總結、作品命名、版本存檔</x:v>
      </x:c>
      <x:c r="I5" s="40" t="str">
        <x:v>用信封、地址卡與路由站角色扮演傳送一張圖片</x:v>
      </x:c>
      <x:c r="J5" s="40" t="str">
        <x:v>偵探辦案</x:v>
      </x:c>
      <x:c r="K5" s="40" t="str">
        <x:v>家庭網路手繪圖</x:v>
      </x:c>
      <x:c r="L5" s="40" t="str">
        <x:v>數位公民</x:v>
      </x:c>
      <x:c r="M5" s="40" t="str">
        <x:v>確認兒童帳號、家庭備份與瀏覽器可用；準備不含真實個資的範例。</x:v>
      </x:c>
      <x:c r="N5" s="40" t="str">
        <x:v>15–30 分鐘自由改造；寫三句學習日誌：我做了什麼、哪裡卡住、下次想加什麼。</x:v>
      </x:c>
      <x:c r="O5" s="40" t="str">
        <x:v>完成「家庭網路手繪圖」；能不用看稿說出核心原理；能指出至少一個錯誤、限制或安全注意事項。</x:v>
      </x:c>
      <x:c r="P5" s="40" t="str">
        <x:v>R23</x:v>
      </x:c>
      <x:c r="Q5" s="40" t="str">
        <x:v>https://consumer.ftc.gov/identity-theft-and-online-security/online-privacy-and-security</x:v>
      </x:c>
      <x:c r="R5" s="40" t="str">
        <x:v>請孩子回答：1. 網路到底是什麼：封包接力賽在解決什麼？2. 我怎麼做？3. 哪裡容易錯？4. 生活中哪裡會用到？</x:v>
      </x:c>
      <x:c r="S5" s="40" t="str">
        <x:v>父子科技課 #004｜網路到底是什麼：封包接力賽</x:v>
      </x:c>
      <x:c r="T5" s="40" t="n">
        <x:v>1</x:v>
      </x:c>
      <x:c r="U5" s="38" t="str">
        <x:v>網路到底是什麼 封包接力賽 Mac digital literacy internet safety beginner tutorial Apple</x:v>
      </x:c>
      <x:c r="V5" s="38" t="str">
        <x:v>https://www.youtube.com/results?search_query=%E7%B6%B2%E8%B7%AF%E5%88%B0%E5%BA%95%E6%98%AF%E4%BB%80%E9%BA%BC+%E5%B0%81%E5%8C%85%E6%8E%A5%E5%8A%9B%E8%B3%BD+Mac+digital+literacy+internet+safety+beginner+tutorial+Apple</x:v>
      </x:c>
      <x:c r="W5" s="38" t="str">
        <x:v>課前暖身</x:v>
      </x:c>
      <x:c r="X5" s="38" t="str">
        <x:v>網路到底是什麼 封包接力賽 用生活比喻理解裝置、路由器、IP、DNS、伺服器與封包 hands on project for kids Mac digital literacy internet safety</x:v>
      </x:c>
      <x:c r="Y5" s="38" t="str">
        <x:v>https://www.youtube.com/results?search_query=%E7%B6%B2%E8%B7%AF%E5%88%B0%E5%BA%95%E6%98%AF%E4%BB%80%E9%BA%BC+%E5%B0%81%E5%8C%85%E6%8E%A5%E5%8A%9B%E8%B3%BD+%E7%94%A8%E7%94%9F%E6%B4%BB%E6%AF%94%E5%96%BB%E7%90%86%E8%A7%A3%E8%A3%9D%E7%BD%AE%E3%80%81%E8%B7%AF%E7%94%B1%E5%99%A8%E3%80%81IP%E3%80%81DNS%E3%80%81%E4%BC%BA%E6%9C%8D%E5%99%A8%E8%88%87%E5%B0%81%E5%8C%85+hands+on+project+for+kids+Mac+digital+literacy+internet+safety</x:v>
      </x:c>
      <x:c r="Z5" s="38" t="str">
        <x:v>課中實作參考</x:v>
      </x:c>
      <x:c r="AA5" s="38" t="str">
        <x:v>網路到底是什麼 封包接力賽 中文 教學 原理 安全 親子 Mac digital literacy internet safety</x:v>
      </x:c>
      <x:c r="AB5" s="38" t="str">
        <x:v>https://www.youtube.com/results?search_query=%E7%B6%B2%E8%B7%AF%E5%88%B0%E5%BA%95%E6%98%AF%E4%BB%80%E9%BA%BC+%E5%B0%81%E5%8C%85%E6%8E%A5%E5%8A%9B%E8%B3%BD+%E4%B8%AD%E6%96%87+%E6%95%99%E5%AD%B8+%E5%8E%9F%E7%90%86+%E5%AE%89%E5%85%A8+%E8%A6%AA%E5%AD%90+Mac+digital+literacy+internet+safety</x:v>
      </x:c>
      <x:c r="AC5" s="38" t="str">
        <x:v>課後延伸／親子討論</x:v>
      </x:c>
    </x:row>
    <x:row r="6" ht="105" customHeight="1">
      <x:c r="A6" s="40" t="n">
        <x:v>5</x:v>
      </x:c>
      <x:c r="B6" s="40" t="str">
        <x:v>第 1 年</x:v>
      </x:c>
      <x:c r="C6" s="40" t="str">
        <x:v>M01 數位探險家：Mac、網路、AI 與安全</x:v>
      </x:c>
      <x:c r="D6" s="40" t="n">
        <x:v>5</x:v>
      </x:c>
      <x:c r="E6" s="40" t="str">
        <x:v>搜尋高手：把大問題拆成好問題</x:v>
      </x:c>
      <x:c r="F6" s="40" t="str">
        <x:v>數位素養／AI 素養／網路安全</x:v>
      </x:c>
      <x:c r="G6" s="40" t="str">
        <x:v>學會關鍵字、引號、排除詞、時間條件與問題拆解</x:v>
      </x:c>
      <x:c r="H6" s="40" t="str">
        <x:v>00–10 任務開場：搜尋高手：把大問題拆成好問題
10–25 概念示範：學會關鍵字、引號、排除詞、時間條件與問題拆解
25–65 父子共同實作：同一題分別用模糊、精準、分段搜尋，比較答案品質
65–75 休息／走動／聊天
75–105 孩子獨立改造：增加一個自選規則或功能
105–115 角色互換：孩子教爸爸操作與原理
115–120 錄音總結、作品命名、版本存檔</x:v>
      </x:c>
      <x:c r="I6" s="40" t="str">
        <x:v>同一題分別用模糊、精準、分段搜尋，比較答案品質</x:v>
      </x:c>
      <x:c r="J6" s="40" t="str">
        <x:v>尋寶</x:v>
      </x:c>
      <x:c r="K6" s="40" t="str">
        <x:v>搜尋策略卡</x:v>
      </x:c>
      <x:c r="L6" s="40" t="str">
        <x:v>資訊判讀</x:v>
      </x:c>
      <x:c r="M6" s="40" t="str">
        <x:v>確認兒童帳號、家庭備份與瀏覽器可用；準備不含真實個資的範例。</x:v>
      </x:c>
      <x:c r="N6" s="40" t="str">
        <x:v>15–30 分鐘自由改造；寫三句學習日誌：我做了什麼、哪裡卡住、下次想加什麼。</x:v>
      </x:c>
      <x:c r="O6" s="40" t="str">
        <x:v>完成「搜尋策略卡」；能不用看稿說出核心原理；能指出至少一個錯誤、限制或安全注意事項。</x:v>
      </x:c>
      <x:c r="P6" s="40" t="str">
        <x:v>R20</x:v>
      </x:c>
      <x:c r="Q6" s="40" t="str">
        <x:v>https://academy.openai.com/</x:v>
      </x:c>
      <x:c r="R6" s="40" t="str">
        <x:v>請孩子回答：1. 搜尋高手：把大問題拆成好問題在解決什麼？2. 我怎麼做？3. 哪裡容易錯？4. 生活中哪裡會用到？</x:v>
      </x:c>
      <x:c r="S6" s="40" t="str">
        <x:v>父子科技課 #005｜搜尋高手：把大問題拆成好問題</x:v>
      </x:c>
      <x:c r="T6" s="40" t="n">
        <x:v>1</x:v>
      </x:c>
      <x:c r="U6" s="38" t="str">
        <x:v>搜尋高手 把大問題拆成好問題 Mac digital literacy internet safety beginner tutorial Apple</x:v>
      </x:c>
      <x:c r="V6" s="38" t="str">
        <x:v>https://www.youtube.com/results?search_query=%E6%90%9C%E5%B0%8B%E9%AB%98%E6%89%8B+%E6%8A%8A%E5%A4%A7%E5%95%8F%E9%A1%8C%E6%8B%86%E6%88%90%E5%A5%BD%E5%95%8F%E9%A1%8C+Mac+digital+literacy+internet+safety+beginner+tutorial+Apple</x:v>
      </x:c>
      <x:c r="W6" s="38" t="str">
        <x:v>課前暖身</x:v>
      </x:c>
      <x:c r="X6" s="38" t="str">
        <x:v>搜尋高手 把大問題拆成好問題 學會關鍵字、引號、排除詞、時間條件與問題拆解 hands on project for kids Mac digital literacy internet safety</x:v>
      </x:c>
      <x:c r="Y6" s="38" t="str">
        <x:v>https://www.youtube.com/results?search_query=%E6%90%9C%E5%B0%8B%E9%AB%98%E6%89%8B+%E6%8A%8A%E5%A4%A7%E5%95%8F%E9%A1%8C%E6%8B%86%E6%88%90%E5%A5%BD%E5%95%8F%E9%A1%8C+%E5%AD%B8%E6%9C%83%E9%97%9C%E9%8D%B5%E5%AD%97%E3%80%81%E5%BC%95%E8%99%9F%E3%80%81%E6%8E%92%E9%99%A4%E8%A9%9E%E3%80%81%E6%99%82%E9%96%93%E6%A2%9D%E4%BB%B6%E8%88%87%E5%95%8F%E9%A1%8C%E6%8B%86%E8%A7%A3+hands+on+project+for+kids+Mac+digital+literacy+internet+safety</x:v>
      </x:c>
      <x:c r="Z6" s="38" t="str">
        <x:v>課中實作參考</x:v>
      </x:c>
      <x:c r="AA6" s="38" t="str">
        <x:v>搜尋高手 把大問題拆成好問題 中文 教學 原理 安全 親子 Mac digital literacy internet safety</x:v>
      </x:c>
      <x:c r="AB6" s="38" t="str">
        <x:v>https://www.youtube.com/results?search_query=%E6%90%9C%E5%B0%8B%E9%AB%98%E6%89%8B+%E6%8A%8A%E5%A4%A7%E5%95%8F%E9%A1%8C%E6%8B%86%E6%88%90%E5%A5%BD%E5%95%8F%E9%A1%8C+%E4%B8%AD%E6%96%87+%E6%95%99%E5%AD%B8+%E5%8E%9F%E7%90%86+%E5%AE%89%E5%85%A8+%E8%A6%AA%E5%AD%90+Mac+digital+literacy+internet+safety</x:v>
      </x:c>
      <x:c r="AC6" s="38" t="str">
        <x:v>課後延伸／親子討論</x:v>
      </x:c>
    </x:row>
    <x:row r="7" ht="105" customHeight="1">
      <x:c r="A7" s="40" t="n">
        <x:v>6</x:v>
      </x:c>
      <x:c r="B7" s="40" t="str">
        <x:v>第 1 年</x:v>
      </x:c>
      <x:c r="C7" s="40" t="str">
        <x:v>M01 數位探險家：Mac、網路、AI 與安全</x:v>
      </x:c>
      <x:c r="D7" s="40" t="n">
        <x:v>6</x:v>
      </x:c>
      <x:c r="E7" s="40" t="str">
        <x:v>真真假假：來源與證據偵探</x:v>
      </x:c>
      <x:c r="F7" s="40" t="str">
        <x:v>數位素養／AI 素養／網路安全</x:v>
      </x:c>
      <x:c r="G7" s="40" t="str">
        <x:v>分辨原始來源、二手來源、廣告、意見與可驗證證據</x:v>
      </x:c>
      <x:c r="H7" s="40" t="str">
        <x:v>00–10 任務開場：真真假假：來源與證據偵探
10–25 概念示範：分辨原始來源、二手來源、廣告、意見與可驗證證據
25–65 父子共同實作：分析 5 則科技消息，替可信度打分並找第二來源
65–75 休息／走動／聊天
75–105 孩子獨立改造：增加一個自選規則或功能
105–115 角色互換：孩子教爸爸操作與原理
115–120 錄音總結、作品命名、版本存檔</x:v>
      </x:c>
      <x:c r="I7" s="40" t="str">
        <x:v>分析 5 則科技消息，替可信度打分並找第二來源</x:v>
      </x:c>
      <x:c r="J7" s="40" t="str">
        <x:v>競速</x:v>
      </x:c>
      <x:c r="K7" s="40" t="str">
        <x:v>來源可信度評分表</x:v>
      </x:c>
      <x:c r="L7" s="40" t="str">
        <x:v>資訊判讀</x:v>
      </x:c>
      <x:c r="M7" s="40" t="str">
        <x:v>確認兒童帳號、家庭備份與瀏覽器可用；準備不含真實個資的範例。</x:v>
      </x:c>
      <x:c r="N7" s="40" t="str">
        <x:v>15–30 分鐘自由改造；寫三句學習日誌：我做了什麼、哪裡卡住、下次想加什麼。</x:v>
      </x:c>
      <x:c r="O7" s="40" t="str">
        <x:v>完成「來源可信度評分表」；能不用看稿說出核心原理；能指出至少一個錯誤、限制或安全注意事項。</x:v>
      </x:c>
      <x:c r="P7" s="40" t="str">
        <x:v>R23</x:v>
      </x:c>
      <x:c r="Q7" s="40" t="str">
        <x:v>https://consumer.ftc.gov/identity-theft-and-online-security/online-privacy-and-security</x:v>
      </x:c>
      <x:c r="R7" s="40" t="str">
        <x:v>請孩子回答：1. 真真假假：來源與證據偵探在解決什麼？2. 我怎麼做？3. 哪裡容易錯？4. 生活中哪裡會用到？</x:v>
      </x:c>
      <x:c r="S7" s="40" t="str">
        <x:v>父子科技課 #006｜真真假假：來源與證據偵探</x:v>
      </x:c>
      <x:c r="T7" s="40" t="n">
        <x:v>1</x:v>
      </x:c>
      <x:c r="U7" s="38" t="str">
        <x:v>真真假假 來源與證據偵探 Mac digital literacy internet safety beginner tutorial Apple</x:v>
      </x:c>
      <x:c r="V7" s="38" t="str">
        <x:v>https://www.youtube.com/results?search_query=%E7%9C%9F%E7%9C%9F%E5%81%87%E5%81%87+%E4%BE%86%E6%BA%90%E8%88%87%E8%AD%89%E6%93%9A%E5%81%B5%E6%8E%A2+Mac+digital+literacy+internet+safety+beginner+tutorial+Apple</x:v>
      </x:c>
      <x:c r="W7" s="38" t="str">
        <x:v>課前暖身</x:v>
      </x:c>
      <x:c r="X7" s="38" t="str">
        <x:v>真真假假 來源與證據偵探 分辨原始來源、二手來源、廣告、意見與可驗證證據 hands on project for kids Mac digital literacy internet safety</x:v>
      </x:c>
      <x:c r="Y7" s="38" t="str">
        <x:v>https://www.youtube.com/results?search_query=%E7%9C%9F%E7%9C%9F%E5%81%87%E5%81%87+%E4%BE%86%E6%BA%90%E8%88%87%E8%AD%89%E6%93%9A%E5%81%B5%E6%8E%A2+%E5%88%86%E8%BE%A8%E5%8E%9F%E5%A7%8B%E4%BE%86%E6%BA%90%E3%80%81%E4%BA%8C%E6%89%8B%E4%BE%86%E6%BA%90%E3%80%81%E5%BB%A3%E5%91%8A%E3%80%81%E6%84%8F%E8%A6%8B%E8%88%87%E5%8F%AF%E9%A9%97%E8%AD%89%E8%AD%89%E6%93%9A+hands+on+project+for+kids+Mac+digital+literacy+internet+safety</x:v>
      </x:c>
      <x:c r="Z7" s="38" t="str">
        <x:v>課中實作參考</x:v>
      </x:c>
      <x:c r="AA7" s="38" t="str">
        <x:v>真真假假 來源與證據偵探 中文 教學 原理 安全 親子 Mac digital literacy internet safety</x:v>
      </x:c>
      <x:c r="AB7" s="38" t="str">
        <x:v>https://www.youtube.com/results?search_query=%E7%9C%9F%E7%9C%9F%E5%81%87%E5%81%87+%E4%BE%86%E6%BA%90%E8%88%87%E8%AD%89%E6%93%9A%E5%81%B5%E6%8E%A2+%E4%B8%AD%E6%96%87+%E6%95%99%E5%AD%B8+%E5%8E%9F%E7%90%86+%E5%AE%89%E5%85%A8+%E8%A6%AA%E5%AD%90+Mac+digital+literacy+internet+safety</x:v>
      </x:c>
      <x:c r="AC7" s="38" t="str">
        <x:v>課後延伸／親子討論</x:v>
      </x:c>
    </x:row>
    <x:row r="8" ht="105" customHeight="1">
      <x:c r="A8" s="40" t="n">
        <x:v>7</x:v>
      </x:c>
      <x:c r="B8" s="40" t="str">
        <x:v>第 1 年</x:v>
      </x:c>
      <x:c r="C8" s="40" t="str">
        <x:v>M01 數位探險家：Mac、網路、AI 與安全</x:v>
      </x:c>
      <x:c r="D8" s="40" t="n">
        <x:v>7</x:v>
      </x:c>
      <x:c r="E8" s="40" t="str">
        <x:v>密碼城堡與雙重驗證</x:v>
      </x:c>
      <x:c r="F8" s="40" t="str">
        <x:v>數位素養／AI 素養／網路安全</x:v>
      </x:c>
      <x:c r="G8" s="40" t="str">
        <x:v>理解長密碼、唯一密碼、密碼管理器與 2FA 的作用</x:v>
      </x:c>
      <x:c r="H8" s="40" t="str">
        <x:v>00–10 任務開場：密碼城堡與雙重驗證
10–25 概念示範：理解長密碼、唯一密碼、密碼管理器與 2FA 的作用
25–65 父子共同實作：用紙牌組合密碼強度，模擬撞庫攻擊與 2FA 防守
65–75 休息／走動／聊天
75–105 孩子獨立改造：增加一個自選規則或功能
105–115 角色互換：孩子教爸爸操作與原理
115–120 錄音總結、作品命名、版本存檔</x:v>
      </x:c>
      <x:c r="I8" s="40" t="str">
        <x:v>用紙牌組合密碼強度，模擬撞庫攻擊與 2FA 防守</x:v>
      </x:c>
      <x:c r="J8" s="40" t="str">
        <x:v>角色扮演</x:v>
      </x:c>
      <x:c r="K8" s="40" t="str">
        <x:v>家庭帳號安全清單（不記錄真密碼）</x:v>
      </x:c>
      <x:c r="L8" s="40" t="str">
        <x:v>安全</x:v>
      </x:c>
      <x:c r="M8" s="40" t="str">
        <x:v>確認兒童帳號、家庭備份與瀏覽器可用；準備不含真實個資的範例。</x:v>
      </x:c>
      <x:c r="N8" s="40" t="str">
        <x:v>15–30 分鐘自由改造；寫三句學習日誌：我做了什麼、哪裡卡住、下次想加什麼。</x:v>
      </x:c>
      <x:c r="O8" s="40" t="str">
        <x:v>完成「家庭帳號安全清單（不記錄真密碼）」；能不用看稿說出核心原理；能指出至少一個錯誤、限制或安全注意事項。</x:v>
      </x:c>
      <x:c r="P8" s="40" t="str">
        <x:v>R23</x:v>
      </x:c>
      <x:c r="Q8" s="40" t="str">
        <x:v>https://consumer.ftc.gov/identity-theft-and-online-security/online-privacy-and-security</x:v>
      </x:c>
      <x:c r="R8" s="40" t="str">
        <x:v>請孩子回答：1. 密碼城堡與雙重驗證在解決什麼？2. 我怎麼做？3. 哪裡容易錯？4. 生活中哪裡會用到？</x:v>
      </x:c>
      <x:c r="S8" s="40" t="str">
        <x:v>父子科技課 #007｜密碼城堡與雙重驗證</x:v>
      </x:c>
      <x:c r="T8" s="40" t="n">
        <x:v>1</x:v>
      </x:c>
      <x:c r="U8" s="38" t="str">
        <x:v>密碼城堡與雙重驗證 Mac digital literacy internet safety beginner tutorial Apple</x:v>
      </x:c>
      <x:c r="V8" s="38" t="str">
        <x:v>https://www.youtube.com/results?search_query=%E5%AF%86%E7%A2%BC%E5%9F%8E%E5%A0%A1%E8%88%87%E9%9B%99%E9%87%8D%E9%A9%97%E8%AD%89+Mac+digital+literacy+internet+safety+beginner+tutorial+Apple</x:v>
      </x:c>
      <x:c r="W8" s="38" t="str">
        <x:v>課前暖身</x:v>
      </x:c>
      <x:c r="X8" s="38" t="str">
        <x:v>密碼城堡與雙重驗證 理解長密碼、唯一密碼、密碼管理器與 2FA 的作用 hands on project for kids Mac digital literacy internet safety</x:v>
      </x:c>
      <x:c r="Y8" s="38" t="str">
        <x:v>https://www.youtube.com/results?search_query=%E5%AF%86%E7%A2%BC%E5%9F%8E%E5%A0%A1%E8%88%87%E9%9B%99%E9%87%8D%E9%A9%97%E8%AD%89+%E7%90%86%E8%A7%A3%E9%95%B7%E5%AF%86%E7%A2%BC%E3%80%81%E5%94%AF%E4%B8%80%E5%AF%86%E7%A2%BC%E3%80%81%E5%AF%86%E7%A2%BC%E7%AE%A1%E7%90%86%E5%99%A8%E8%88%87+2FA+%E7%9A%84%E4%BD%9C%E7%94%A8+hands+on+project+for+kids+Mac+digital+literacy+internet+safety</x:v>
      </x:c>
      <x:c r="Z8" s="38" t="str">
        <x:v>課中實作參考</x:v>
      </x:c>
      <x:c r="AA8" s="38" t="str">
        <x:v>密碼城堡與雙重驗證 中文 教學 原理 安全 親子 Mac digital literacy internet safety</x:v>
      </x:c>
      <x:c r="AB8" s="38" t="str">
        <x:v>https://www.youtube.com/results?search_query=%E5%AF%86%E7%A2%BC%E5%9F%8E%E5%A0%A1%E8%88%87%E9%9B%99%E9%87%8D%E9%A9%97%E8%AD%89+%E4%B8%AD%E6%96%87+%E6%95%99%E5%AD%B8+%E5%8E%9F%E7%90%86+%E5%AE%89%E5%85%A8+%E8%A6%AA%E5%AD%90+Mac+digital+literacy+internet+safety</x:v>
      </x:c>
      <x:c r="AC8" s="38" t="str">
        <x:v>課後延伸／親子討論</x:v>
      </x:c>
    </x:row>
    <x:row r="9" ht="105" customHeight="1">
      <x:c r="A9" s="40" t="n">
        <x:v>8</x:v>
      </x:c>
      <x:c r="B9" s="40" t="str">
        <x:v>第 1 年</x:v>
      </x:c>
      <x:c r="C9" s="40" t="str">
        <x:v>M01 數位探險家：Mac、網路、AI 與安全</x:v>
      </x:c>
      <x:c r="D9" s="40" t="n">
        <x:v>8</x:v>
      </x:c>
      <x:c r="E9" s="40" t="str">
        <x:v>釣魚郵件偵探社</x:v>
      </x:c>
      <x:c r="F9" s="40" t="str">
        <x:v>數位素養／AI 素養／網路安全</x:v>
      </x:c>
      <x:c r="G9" s="40" t="str">
        <x:v>辨識急迫語氣、偽造寄件者、奇怪網址、附件與付款要求</x:v>
      </x:c>
      <x:c r="H9" s="40" t="str">
        <x:v>00–10 任務開場：釣魚郵件偵探社
10–25 概念示範：辨識急迫語氣、偽造寄件者、奇怪網址、附件與付款要求
25–65 父子共同實作：爸爸準備真假訊息卡，孩子圈出紅旗並說明安全動作
65–75 休息／走動／聊天
75–105 孩子獨立改造：增加一個自選規則或功能
105–115 角色互換：孩子教爸爸操作與原理
115–120 錄音總結、作品命名、版本存檔</x:v>
      </x:c>
      <x:c r="I9" s="40" t="str">
        <x:v>爸爸準備真假訊息卡，孩子圈出紅旗並說明安全動作</x:v>
      </x:c>
      <x:c r="J9" s="40" t="str">
        <x:v>偵探辦案</x:v>
      </x:c>
      <x:c r="K9" s="40" t="str">
        <x:v>釣魚訊息紅旗海報</x:v>
      </x:c>
      <x:c r="L9" s="40" t="str">
        <x:v>安全</x:v>
      </x:c>
      <x:c r="M9" s="40" t="str">
        <x:v>確認兒童帳號、家庭備份與瀏覽器可用；準備不含真實個資的範例。</x:v>
      </x:c>
      <x:c r="N9" s="40" t="str">
        <x:v>15–30 分鐘自由改造；寫三句學習日誌：我做了什麼、哪裡卡住、下次想加什麼。</x:v>
      </x:c>
      <x:c r="O9" s="40" t="str">
        <x:v>完成「釣魚訊息紅旗海報」；能不用看稿說出核心原理；能指出至少一個錯誤、限制或安全注意事項。</x:v>
      </x:c>
      <x:c r="P9" s="40" t="str">
        <x:v>R22</x:v>
      </x:c>
      <x:c r="Q9" s="40" t="str">
        <x:v>https://consumer.ftc.gov/articles/how-recognize-avoid-phishing-scams</x:v>
      </x:c>
      <x:c r="R9" s="40" t="str">
        <x:v>請孩子回答：1. 釣魚郵件偵探社在解決什麼？2. 我怎麼做？3. 哪裡容易錯？4. 生活中哪裡會用到？</x:v>
      </x:c>
      <x:c r="S9" s="40" t="str">
        <x:v>父子科技課 #008｜釣魚郵件偵探社</x:v>
      </x:c>
      <x:c r="T9" s="40" t="n">
        <x:v>1</x:v>
      </x:c>
      <x:c r="U9" s="38" t="str">
        <x:v>釣魚郵件偵探社 Mac digital literacy internet safety beginner tutorial Apple</x:v>
      </x:c>
      <x:c r="V9" s="38" t="str">
        <x:v>https://www.youtube.com/results?search_query=%E9%87%A3%E9%AD%9A%E9%83%B5%E4%BB%B6%E5%81%B5%E6%8E%A2%E7%A4%BE+Mac+digital+literacy+internet+safety+beginner+tutorial+Apple</x:v>
      </x:c>
      <x:c r="W9" s="38" t="str">
        <x:v>課前暖身</x:v>
      </x:c>
      <x:c r="X9" s="38" t="str">
        <x:v>釣魚郵件偵探社 辨識急迫語氣、偽造寄件者、奇怪網址、附件與付款要求 hands on project for kids Mac digital literacy internet safety</x:v>
      </x:c>
      <x:c r="Y9" s="38" t="str">
        <x:v>https://www.youtube.com/results?search_query=%E9%87%A3%E9%AD%9A%E9%83%B5%E4%BB%B6%E5%81%B5%E6%8E%A2%E7%A4%BE+%E8%BE%A8%E8%AD%98%E6%80%A5%E8%BF%AB%E8%AA%9E%E6%B0%A3%E3%80%81%E5%81%BD%E9%80%A0%E5%AF%84%E4%BB%B6%E8%80%85%E3%80%81%E5%A5%87%E6%80%AA%E7%B6%B2%E5%9D%80%E3%80%81%E9%99%84%E4%BB%B6%E8%88%87%E4%BB%98%E6%AC%BE%E8%A6%81%E6%B1%82+hands+on+project+for+kids+Mac+digital+literacy+internet+safety</x:v>
      </x:c>
      <x:c r="Z9" s="38" t="str">
        <x:v>課中實作參考</x:v>
      </x:c>
      <x:c r="AA9" s="38" t="str">
        <x:v>釣魚郵件偵探社 中文 教學 原理 安全 親子 Mac digital literacy internet safety</x:v>
      </x:c>
      <x:c r="AB9" s="38" t="str">
        <x:v>https://www.youtube.com/results?search_query=%E9%87%A3%E9%AD%9A%E9%83%B5%E4%BB%B6%E5%81%B5%E6%8E%A2%E7%A4%BE+%E4%B8%AD%E6%96%87+%E6%95%99%E5%AD%B8+%E5%8E%9F%E7%90%86+%E5%AE%89%E5%85%A8+%E8%A6%AA%E5%AD%90+Mac+digital+literacy+internet+safety</x:v>
      </x:c>
      <x:c r="AC9" s="38" t="str">
        <x:v>課後延伸／親子討論</x:v>
      </x:c>
    </x:row>
    <x:row r="10" ht="105" customHeight="1">
      <x:c r="A10" s="40" t="n">
        <x:v>9</x:v>
      </x:c>
      <x:c r="B10" s="40" t="str">
        <x:v>第 1 年</x:v>
      </x:c>
      <x:c r="C10" s="40" t="str">
        <x:v>M01 數位探險家：Mac、網路、AI 與安全</x:v>
      </x:c>
      <x:c r="D10" s="40" t="n">
        <x:v>9</x:v>
      </x:c>
      <x:c r="E10" s="40" t="str">
        <x:v>個資、照片與數位足跡</x:v>
      </x:c>
      <x:c r="F10" s="40" t="str">
        <x:v>數位素養／AI 素養／網路安全</x:v>
      </x:c>
      <x:c r="G10" s="40" t="str">
        <x:v>理解個資分類、公開範圍、照片中隱藏資訊與永久性</x:v>
      </x:c>
      <x:c r="H10" s="40" t="str">
        <x:v>00–10 任務開場：個資、照片與數位足跡
10–25 概念示範：理解個資分類、公開範圍、照片中隱藏資訊與永久性
25–65 父子共同實作：對三張模擬照片做『可公開／不可公開／需處理』分類
65–75 休息／走動／聊天
75–105 孩子獨立改造：增加一個自選規則或功能
105–115 角色互換：孩子教爸爸操作與原理
115–120 錄音總結、作品命名、版本存檔</x:v>
      </x:c>
      <x:c r="I10" s="40" t="str">
        <x:v>對三張模擬照片做『可公開／不可公開／需處理』分類</x:v>
      </x:c>
      <x:c r="J10" s="40" t="str">
        <x:v>尋寶</x:v>
      </x:c>
      <x:c r="K10" s="40" t="str">
        <x:v>家庭發布前檢查表</x:v>
      </x:c>
      <x:c r="L10" s="40" t="str">
        <x:v>安全</x:v>
      </x:c>
      <x:c r="M10" s="40" t="str">
        <x:v>確認兒童帳號、家庭備份與瀏覽器可用；準備不含真實個資的範例。</x:v>
      </x:c>
      <x:c r="N10" s="40" t="str">
        <x:v>15–30 分鐘自由改造；寫三句學習日誌：我做了什麼、哪裡卡住、下次想加什麼。</x:v>
      </x:c>
      <x:c r="O10" s="40" t="str">
        <x:v>完成「家庭發布前檢查表」；能不用看稿說出核心原理；能指出至少一個錯誤、限制或安全注意事項。</x:v>
      </x:c>
      <x:c r="P10" s="40" t="str">
        <x:v>R23</x:v>
      </x:c>
      <x:c r="Q10" s="40" t="str">
        <x:v>https://consumer.ftc.gov/identity-theft-and-online-security/online-privacy-and-security</x:v>
      </x:c>
      <x:c r="R10" s="40" t="str">
        <x:v>請孩子回答：1. 個資、照片與數位足跡在解決什麼？2. 我怎麼做？3. 哪裡容易錯？4. 生活中哪裡會用到？</x:v>
      </x:c>
      <x:c r="S10" s="40" t="str">
        <x:v>父子科技課 #009｜個資、照片與數位足跡</x:v>
      </x:c>
      <x:c r="T10" s="40" t="n">
        <x:v>2</x:v>
      </x:c>
      <x:c r="U10" s="38" t="str">
        <x:v>個資、照片與數位足跡 Mac digital literacy internet safety beginner tutorial Apple</x:v>
      </x:c>
      <x:c r="V10" s="38" t="str">
        <x:v>https://www.youtube.com/results?search_query=%E5%80%8B%E8%B3%87%E3%80%81%E7%85%A7%E7%89%87%E8%88%87%E6%95%B8%E4%BD%8D%E8%B6%B3%E8%B7%A1+Mac+digital+literacy+internet+safety+beginner+tutorial+Apple</x:v>
      </x:c>
      <x:c r="W10" s="38" t="str">
        <x:v>課前暖身</x:v>
      </x:c>
      <x:c r="X10" s="38" t="str">
        <x:v>個資、照片與數位足跡 理解個資分類、公開範圍、照片中隱藏資訊與永久性 hands on project for kids Mac digital literacy internet safety</x:v>
      </x:c>
      <x:c r="Y10" s="38" t="str">
        <x:v>https://www.youtube.com/results?search_query=%E5%80%8B%E8%B3%87%E3%80%81%E7%85%A7%E7%89%87%E8%88%87%E6%95%B8%E4%BD%8D%E8%B6%B3%E8%B7%A1+%E7%90%86%E8%A7%A3%E5%80%8B%E8%B3%87%E5%88%86%E9%A1%9E%E3%80%81%E5%85%AC%E9%96%8B%E7%AF%84%E5%9C%8D%E3%80%81%E7%85%A7%E7%89%87%E4%B8%AD%E9%9A%B1%E8%97%8F%E8%B3%87%E8%A8%8A%E8%88%87%E6%B0%B8%E4%B9%85%E6%80%A7+hands+on+project+for+kids+Mac+digital+literacy+internet+safety</x:v>
      </x:c>
      <x:c r="Z10" s="38" t="str">
        <x:v>課中實作參考</x:v>
      </x:c>
      <x:c r="AA10" s="38" t="str">
        <x:v>個資、照片與數位足跡 中文 教學 原理 安全 親子 Mac digital literacy internet safety</x:v>
      </x:c>
      <x:c r="AB10" s="38" t="str">
        <x:v>https://www.youtube.com/results?search_query=%E5%80%8B%E8%B3%87%E3%80%81%E7%85%A7%E7%89%87%E8%88%87%E6%95%B8%E4%BD%8D%E8%B6%B3%E8%B7%A1+%E4%B8%AD%E6%96%87+%E6%95%99%E5%AD%B8+%E5%8E%9F%E7%90%86+%E5%AE%89%E5%85%A8+%E8%A6%AA%E5%AD%90+Mac+digital+literacy+internet+safety</x:v>
      </x:c>
      <x:c r="AC10" s="38" t="str">
        <x:v>課後延伸／親子討論</x:v>
      </x:c>
    </x:row>
    <x:row r="11" ht="105" customHeight="1">
      <x:c r="A11" s="40" t="n">
        <x:v>10</x:v>
      </x:c>
      <x:c r="B11" s="40" t="str">
        <x:v>第 1 年</x:v>
      </x:c>
      <x:c r="C11" s="40" t="str">
        <x:v>M01 數位探險家：Mac、網路、AI 與安全</x:v>
      </x:c>
      <x:c r="D11" s="40" t="n">
        <x:v>10</x:v>
      </x:c>
      <x:c r="E11" s="40" t="str">
        <x:v>AI 是什麼、不是什麼</x:v>
      </x:c>
      <x:c r="F11" s="40" t="str">
        <x:v>數位素養／AI 素養／網路安全</x:v>
      </x:c>
      <x:c r="G11" s="40" t="str">
        <x:v>區分規則式程式、機器學習與生成式 AI；理解 AI 沒有魔法</x:v>
      </x:c>
      <x:c r="H11" s="40" t="str">
        <x:v>00–10 任務開場：AI 是什麼、不是什麼
10–25 概念示範：區分規則式程式、機器學習與生成式 AI；理解 AI 沒有魔法
25–65 父子共同實作：把家中 10 個功能分類為規則、ML、生成式 AI 或非 AI
65–75 休息／走動／聊天
75–105 孩子獨立改造：增加一個自選規則或功能
105–115 角色互換：孩子教爸爸操作與原理
115–120 錄音總結、作品命名、版本存檔</x:v>
      </x:c>
      <x:c r="I11" s="40" t="str">
        <x:v>把家中 10 個功能分類為規則、ML、生成式 AI 或非 AI</x:v>
      </x:c>
      <x:c r="J11" s="40" t="str">
        <x:v>競速</x:v>
      </x:c>
      <x:c r="K11" s="40" t="str">
        <x:v>AI 功能分類牆</x:v>
      </x:c>
      <x:c r="L11" s="40" t="str">
        <x:v>數位公民</x:v>
      </x:c>
      <x:c r="M11" s="40" t="str">
        <x:v>確認兒童帳號、家庭備份與瀏覽器可用；準備不含真實個資的範例。</x:v>
      </x:c>
      <x:c r="N11" s="40" t="str">
        <x:v>15–30 分鐘自由改造；寫三句學習日誌：我做了什麼、哪裡卡住、下次想加什麼。</x:v>
      </x:c>
      <x:c r="O11" s="40" t="str">
        <x:v>完成「AI 功能分類牆」；能不用看稿說出核心原理；能指出至少一個錯誤、限制或安全注意事項。</x:v>
      </x:c>
      <x:c r="P11" s="40" t="str">
        <x:v>R07</x:v>
      </x:c>
      <x:c r="Q11" s="40" t="str">
        <x:v>https://dayofai.org/</x:v>
      </x:c>
      <x:c r="R11" s="40" t="str">
        <x:v>請孩子回答：1. AI 是什麼、不是什麼在解決什麼？2. 我怎麼做？3. 哪裡容易錯？4. 生活中哪裡會用到？</x:v>
      </x:c>
      <x:c r="S11" s="40" t="str">
        <x:v>父子科技課 #010｜AI 是什麼、不是什麼</x:v>
      </x:c>
      <x:c r="T11" s="40" t="n">
        <x:v>2</x:v>
      </x:c>
      <x:c r="U11" s="38" t="str">
        <x:v>AI 是什麼、不是什麼 Mac digital literacy internet safety beginner tutorial Apple</x:v>
      </x:c>
      <x:c r="V11" s="38" t="str">
        <x:v>https://www.youtube.com/results?search_query=AI+%E6%98%AF%E4%BB%80%E9%BA%BC%E3%80%81%E4%B8%8D%E6%98%AF%E4%BB%80%E9%BA%BC+Mac+digital+literacy+internet+safety+beginner+tutorial+Apple</x:v>
      </x:c>
      <x:c r="W11" s="38" t="str">
        <x:v>課前暖身</x:v>
      </x:c>
      <x:c r="X11" s="38" t="str">
        <x:v>AI 是什麼、不是什麼 區分規則式程式、機器學習與生成式 AI；理解 AI 沒有魔法 hands on project for kids Mac digital literacy</x:v>
      </x:c>
      <x:c r="Y11" s="38" t="str">
        <x:v>https://www.youtube.com/results?search_query=AI+%E6%98%AF%E4%BB%80%E9%BA%BC%E3%80%81%E4%B8%8D%E6%98%AF%E4%BB%80%E9%BA%BC+%E5%8D%80%E5%88%86%E8%A6%8F%E5%89%87%E5%BC%8F%E7%A8%8B%E5%BC%8F%E3%80%81%E6%A9%9F%E5%99%A8%E5%AD%B8%E7%BF%92%E8%88%87%E7%94%9F%E6%88%90%E5%BC%8F+AI%EF%BC%9B%E7%90%86%E8%A7%A3+AI+%E6%B2%92%E6%9C%89%E9%AD%94%E6%B3%95+hands+on+project+for+kids+Mac+digital+literacy+internet+safety</x:v>
      </x:c>
      <x:c r="Z11" s="38" t="str">
        <x:v>課中實作參考</x:v>
      </x:c>
      <x:c r="AA11" s="38" t="str">
        <x:v>AI 是什麼、不是什麼 中文 教學 原理 安全 親子 Mac digital literacy internet safety</x:v>
      </x:c>
      <x:c r="AB11" s="38" t="str">
        <x:v>https://www.youtube.com/results?search_query=AI+%E6%98%AF%E4%BB%80%E9%BA%BC%E3%80%81%E4%B8%8D%E6%98%AF%E4%BB%80%E9%BA%BC+%E4%B8%AD%E6%96%87+%E6%95%99%E5%AD%B8+%E5%8E%9F%E7%90%86+%E5%AE%89%E5%85%A8+%E8%A6%AA%E5%AD%90+Mac+digital+literacy+internet+safety</x:v>
      </x:c>
      <x:c r="AC11" s="38" t="str">
        <x:v>課後延伸／親子討論</x:v>
      </x:c>
    </x:row>
    <x:row r="12" ht="105" customHeight="1">
      <x:c r="A12" s="40" t="n">
        <x:v>11</x:v>
      </x:c>
      <x:c r="B12" s="40" t="str">
        <x:v>第 1 年</x:v>
      </x:c>
      <x:c r="C12" s="40" t="str">
        <x:v>M01 數位探險家：Mac、網路、AI 與安全</x:v>
      </x:c>
      <x:c r="D12" s="40" t="n">
        <x:v>11</x:v>
      </x:c>
      <x:c r="E12" s="40" t="str">
        <x:v>第一個好提示詞：任務、背景、限制、格式</x:v>
      </x:c>
      <x:c r="F12" s="40" t="str">
        <x:v>數位素養／AI 素養／網路安全</x:v>
      </x:c>
      <x:c r="G12" s="40" t="str">
        <x:v>學會以明確目的與輸出格式和 AI 協作</x:v>
      </x:c>
      <x:c r="H12" s="40" t="str">
        <x:v>00–10 任務開場：第一個好提示詞：任務、背景、限制、格式
10–25 概念示範：學會以明確目的與輸出格式和 AI 協作
25–65 父子共同實作：把『介紹機器人』逐輪改造成能產出兒童科普卡的提示詞
65–75 休息／走動／聊天
75–105 孩子獨立改造：增加一個自選規則或功能
105–115 角色互換：孩子教爸爸操作與原理
115–120 錄音總結、作品命名、版本存檔</x:v>
      </x:c>
      <x:c r="I12" s="40" t="str">
        <x:v>把『介紹機器人』逐輪改造成能產出兒童科普卡的提示詞</x:v>
      </x:c>
      <x:c r="J12" s="40" t="str">
        <x:v>角色扮演</x:v>
      </x:c>
      <x:c r="K12" s="40" t="str">
        <x:v>Prompt 四格卡</x:v>
      </x:c>
      <x:c r="L12" s="40" t="str">
        <x:v>數位公民</x:v>
      </x:c>
      <x:c r="M12" s="40" t="str">
        <x:v>確認兒童帳號、家庭備份與瀏覽器可用；準備不含真實個資的範例。</x:v>
      </x:c>
      <x:c r="N12" s="40" t="str">
        <x:v>15–30 分鐘自由改造；寫三句學習日誌：我做了什麼、哪裡卡住、下次想加什麼。</x:v>
      </x:c>
      <x:c r="O12" s="40" t="str">
        <x:v>完成「Prompt 四格卡」；能不用看稿說出核心原理；能指出至少一個錯誤、限制或安全注意事項。</x:v>
      </x:c>
      <x:c r="P12" s="40" t="str">
        <x:v>R21</x:v>
      </x:c>
      <x:c r="Q12" s="40" t="str">
        <x:v>https://academy.openai.com/public/clubs/work-users-ynjqu/resources/prompting</x:v>
      </x:c>
      <x:c r="R12" s="40" t="str">
        <x:v>請孩子回答：1. 第一個好提示詞：任務、背景、限制、格式在解決什麼？2. 我怎麼做？3. 哪裡容易錯？4. 生活中哪裡會用到？</x:v>
      </x:c>
      <x:c r="S12" s="40" t="str">
        <x:v>父子科技課 #011｜第一個好提示詞：任務、背景、限制、格式</x:v>
      </x:c>
      <x:c r="T12" s="40" t="n">
        <x:v>2</x:v>
      </x:c>
      <x:c r="U12" s="38" t="str">
        <x:v>第一個好提示詞 任務、背景、限制、格式 Mac digital literacy internet safety beginner tutorial Apple</x:v>
      </x:c>
      <x:c r="V12" s="38" t="str">
        <x:v>https://www.youtube.com/results?search_query=%E7%AC%AC%E4%B8%80%E5%80%8B%E5%A5%BD%E6%8F%90%E7%A4%BA%E8%A9%9E+%E4%BB%BB%E5%8B%99%E3%80%81%E8%83%8C%E6%99%AF%E3%80%81%E9%99%90%E5%88%B6%E3%80%81%E6%A0%BC%E5%BC%8F+Mac+digital+literacy+internet+safety+beginner+tutorial+Apple</x:v>
      </x:c>
      <x:c r="W12" s="38" t="str">
        <x:v>課前暖身</x:v>
      </x:c>
      <x:c r="X12" s="38" t="str">
        <x:v>第一個好提示詞 任務、背景、限制、格式 學會以明確目的與輸出格式和 AI 協作 hands on project for kids Mac digital literacy internet</x:v>
      </x:c>
      <x:c r="Y12" s="38" t="str">
        <x:v>https://www.youtube.com/results?search_query=%E7%AC%AC%E4%B8%80%E5%80%8B%E5%A5%BD%E6%8F%90%E7%A4%BA%E8%A9%9E+%E4%BB%BB%E5%8B%99%E3%80%81%E8%83%8C%E6%99%AF%E3%80%81%E9%99%90%E5%88%B6%E3%80%81%E6%A0%BC%E5%BC%8F+%E5%AD%B8%E6%9C%83%E4%BB%A5%E6%98%8E%E7%A2%BA%E7%9B%AE%E7%9A%84%E8%88%87%E8%BC%B8%E5%87%BA%E6%A0%BC%E5%BC%8F%E5%92%8C+AI+%E5%8D%94%E4%BD%9C+hands+on+project+for+kids+Mac+digital+literacy+internet+safety</x:v>
      </x:c>
      <x:c r="Z12" s="38" t="str">
        <x:v>課中實作參考</x:v>
      </x:c>
      <x:c r="AA12" s="38" t="str">
        <x:v>第一個好提示詞 任務、背景、限制、格式 中文 教學 原理 安全 親子 Mac digital literacy internet safety</x:v>
      </x:c>
      <x:c r="AB12" s="38" t="str">
        <x:v>https://www.youtube.com/results?search_query=%E7%AC%AC%E4%B8%80%E5%80%8B%E5%A5%BD%E6%8F%90%E7%A4%BA%E8%A9%9E+%E4%BB%BB%E5%8B%99%E3%80%81%E8%83%8C%E6%99%AF%E3%80%81%E9%99%90%E5%88%B6%E3%80%81%E6%A0%BC%E5%BC%8F+%E4%B8%AD%E6%96%87+%E6%95%99%E5%AD%B8+%E5%8E%9F%E7%90%86+%E5%AE%89%E5%85%A8+%E8%A6%AA%E5%AD%90+Mac+digital+literacy+internet+safety</x:v>
      </x:c>
      <x:c r="AC12" s="38" t="str">
        <x:v>課後延伸／親子討論</x:v>
      </x:c>
    </x:row>
    <x:row r="13" ht="105" customHeight="1">
      <x:c r="A13" s="40" t="n">
        <x:v>12</x:v>
      </x:c>
      <x:c r="B13" s="40" t="str">
        <x:v>第 1 年</x:v>
      </x:c>
      <x:c r="C13" s="40" t="str">
        <x:v>M01 數位探險家：Mac、網路、AI 與安全</x:v>
      </x:c>
      <x:c r="D13" s="40" t="n">
        <x:v>12</x:v>
      </x:c>
      <x:c r="E13" s="40" t="str">
        <x:v>AI 會亂講：幻覺抓錯賽</x:v>
      </x:c>
      <x:c r="F13" s="40" t="str">
        <x:v>數位素養／AI 素養／網路安全</x:v>
      </x:c>
      <x:c r="G13" s="40" t="str">
        <x:v>養成查核名稱、數字、日期、引用與不確定性的習慣</x:v>
      </x:c>
      <x:c r="H13" s="40" t="str">
        <x:v>00–10 任務開場：AI 會亂講：幻覺抓錯賽
10–25 概念示範：養成查核名稱、數字、日期、引用與不確定性的習慣
25–65 父子共同實作：請 AI 回答冷門題，孩子找出至少 3 個需驗證點
65–75 休息／走動／聊天
75–105 孩子獨立改造：增加一個自選規則或功能
105–115 角色互換：孩子教爸爸操作與原理
115–120 錄音總結、作品命名、版本存檔</x:v>
      </x:c>
      <x:c r="I13" s="40" t="str">
        <x:v>請 AI 回答冷門題，孩子找出至少 3 個需驗證點</x:v>
      </x:c>
      <x:c r="J13" s="40" t="str">
        <x:v>偵探辦案</x:v>
      </x:c>
      <x:c r="K13" s="40" t="str">
        <x:v>AI 回答查核表</x:v>
      </x:c>
      <x:c r="L13" s="40" t="str">
        <x:v>資訊判讀</x:v>
      </x:c>
      <x:c r="M13" s="40" t="str">
        <x:v>確認兒童帳號、家庭備份與瀏覽器可用；準備不含真實個資的範例。</x:v>
      </x:c>
      <x:c r="N13" s="40" t="str">
        <x:v>15–30 分鐘自由改造；寫三句學習日誌：我做了什麼、哪裡卡住、下次想加什麼。</x:v>
      </x:c>
      <x:c r="O13" s="40" t="str">
        <x:v>完成「AI 回答查核表」；能不用看稿說出核心原理；能指出至少一個錯誤、限制或安全注意事項。</x:v>
      </x:c>
      <x:c r="P13" s="40" t="str">
        <x:v>R20</x:v>
      </x:c>
      <x:c r="Q13" s="40" t="str">
        <x:v>https://academy.openai.com/</x:v>
      </x:c>
      <x:c r="R13" s="40" t="str">
        <x:v>請孩子回答：1. AI 會亂講：幻覺抓錯賽在解決什麼？2. 我怎麼做？3. 哪裡容易錯？4. 生活中哪裡會用到？</x:v>
      </x:c>
      <x:c r="S13" s="40" t="str">
        <x:v>父子科技課 #012｜AI 會亂講：幻覺抓錯賽</x:v>
      </x:c>
      <x:c r="T13" s="40" t="n">
        <x:v>2</x:v>
      </x:c>
      <x:c r="U13" s="38" t="str">
        <x:v>AI 會亂講 幻覺抓錯賽 Mac digital literacy internet safety beginner tutorial Apple</x:v>
      </x:c>
      <x:c r="V13" s="38" t="str">
        <x:v>https://www.youtube.com/results?search_query=AI+%E6%9C%83%E4%BA%82%E8%AC%9B+%E5%B9%BB%E8%A6%BA%E6%8A%93%E9%8C%AF%E8%B3%BD+Mac+digital+literacy+internet+safety+beginner+tutorial+Apple</x:v>
      </x:c>
      <x:c r="W13" s="38" t="str">
        <x:v>課前暖身</x:v>
      </x:c>
      <x:c r="X13" s="38" t="str">
        <x:v>AI 會亂講 幻覺抓錯賽 養成查核名稱、數字、日期、引用與不確定性的習慣 hands on project for kids Mac digital literacy internet safety</x:v>
      </x:c>
      <x:c r="Y13" s="38" t="str">
        <x:v>https://www.youtube.com/results?search_query=AI+%E6%9C%83%E4%BA%82%E8%AC%9B+%E5%B9%BB%E8%A6%BA%E6%8A%93%E9%8C%AF%E8%B3%BD+%E9%A4%8A%E6%88%90%E6%9F%A5%E6%A0%B8%E5%90%8D%E7%A8%B1%E3%80%81%E6%95%B8%E5%AD%97%E3%80%81%E6%97%A5%E6%9C%9F%E3%80%81%E5%BC%95%E7%94%A8%E8%88%87%E4%B8%8D%E7%A2%BA%E5%AE%9A%E6%80%A7%E7%9A%84%E7%BF%92%E6%85%A3+hands+on+project+for+kids+Mac+digital+literacy+internet+safety</x:v>
      </x:c>
      <x:c r="Z13" s="38" t="str">
        <x:v>課中實作參考</x:v>
      </x:c>
      <x:c r="AA13" s="38" t="str">
        <x:v>AI 會亂講 幻覺抓錯賽 中文 教學 原理 安全 親子 Mac digital literacy internet safety</x:v>
      </x:c>
      <x:c r="AB13" s="38" t="str">
        <x:v>https://www.youtube.com/results?search_query=AI+%E6%9C%83%E4%BA%82%E8%AC%9B+%E5%B9%BB%E8%A6%BA%E6%8A%93%E9%8C%AF%E8%B3%BD+%E4%B8%AD%E6%96%87+%E6%95%99%E5%AD%B8+%E5%8E%9F%E7%90%86+%E5%AE%89%E5%85%A8+%E8%A6%AA%E5%AD%90+Mac+digital+literacy+internet+safety</x:v>
      </x:c>
      <x:c r="AC13" s="38" t="str">
        <x:v>課後延伸／親子討論</x:v>
      </x:c>
    </x:row>
    <x:row r="14" ht="105" customHeight="1">
      <x:c r="A14" s="40" t="n">
        <x:v>13</x:v>
      </x:c>
      <x:c r="B14" s="40" t="str">
        <x:v>第 1 年</x:v>
      </x:c>
      <x:c r="C14" s="40" t="str">
        <x:v>M01 數位探險家：Mac、網路、AI 與安全</x:v>
      </x:c>
      <x:c r="D14" s="40" t="n">
        <x:v>13</x:v>
      </x:c>
      <x:c r="E14" s="40" t="str">
        <x:v>文字、圖片、聲音 AI 體驗站</x:v>
      </x:c>
      <x:c r="F14" s="40" t="str">
        <x:v>數位素養／AI 素養／網路安全</x:v>
      </x:c>
      <x:c r="G14" s="40" t="str">
        <x:v>比較不同生成媒介的輸入、輸出、限制與風險</x:v>
      </x:c>
      <x:c r="H14" s="40" t="str">
        <x:v>00–10 任務開場：文字、圖片、聲音 AI 體驗站
10–25 概念示範：比較不同生成媒介的輸入、輸出、限制與風險
25–65 父子共同實作：完成一個角色的文字介紹、概念圖與 20 秒旁白
65–75 休息／走動／聊天
75–105 孩子獨立改造：增加一個自選規則或功能
105–115 角色互換：孩子教爸爸操作與原理
115–120 錄音總結、作品命名、版本存檔</x:v>
      </x:c>
      <x:c r="I14" s="40" t="str">
        <x:v>完成一個角色的文字介紹、概念圖與 20 秒旁白</x:v>
      </x:c>
      <x:c r="J14" s="40" t="str">
        <x:v>尋寶</x:v>
      </x:c>
      <x:c r="K14" s="40" t="str">
        <x:v>多模態角色卡</x:v>
      </x:c>
      <x:c r="L14" s="40" t="str">
        <x:v>數位公民</x:v>
      </x:c>
      <x:c r="M14" s="40" t="str">
        <x:v>確認兒童帳號、家庭備份與瀏覽器可用；準備不含真實個資的範例。</x:v>
      </x:c>
      <x:c r="N14" s="40" t="str">
        <x:v>15–30 分鐘自由改造；寫三句學習日誌：我做了什麼、哪裡卡住、下次想加什麼。</x:v>
      </x:c>
      <x:c r="O14" s="40" t="str">
        <x:v>完成「多模態角色卡」；能不用看稿說出核心原理；能指出至少一個錯誤、限制或安全注意事項。</x:v>
      </x:c>
      <x:c r="P14" s="40" t="str">
        <x:v>R20</x:v>
      </x:c>
      <x:c r="Q14" s="40" t="str">
        <x:v>https://academy.openai.com/</x:v>
      </x:c>
      <x:c r="R14" s="40" t="str">
        <x:v>請孩子回答：1. 文字、圖片、聲音 AI 體驗站在解決什麼？2. 我怎麼做？3. 哪裡容易錯？4. 生活中哪裡會用到？</x:v>
      </x:c>
      <x:c r="S14" s="40" t="str">
        <x:v>父子科技課 #013｜文字、圖片、聲音 AI 體驗站</x:v>
      </x:c>
      <x:c r="T14" s="40" t="n">
        <x:v>2</x:v>
      </x:c>
      <x:c r="U14" s="38" t="str">
        <x:v>文字、圖片、聲音 AI 體驗站 Mac digital literacy internet safety beginner tutorial Apple</x:v>
      </x:c>
      <x:c r="V14" s="38" t="str">
        <x:v>https://www.youtube.com/results?search_query=%E6%96%87%E5%AD%97%E3%80%81%E5%9C%96%E7%89%87%E3%80%81%E8%81%B2%E9%9F%B3+AI+%E9%AB%94%E9%A9%97%E7%AB%99+Mac+digital+literacy+internet+safety+beginner+tutorial+Apple</x:v>
      </x:c>
      <x:c r="W14" s="38" t="str">
        <x:v>課前暖身</x:v>
      </x:c>
      <x:c r="X14" s="38" t="str">
        <x:v>文字、圖片、聲音 AI 體驗站 比較不同生成媒介的輸入、輸出、限制與風險 hands on project for kids Mac digital literacy internet safety</x:v>
      </x:c>
      <x:c r="Y14" s="38" t="str">
        <x:v>https://www.youtube.com/results?search_query=%E6%96%87%E5%AD%97%E3%80%81%E5%9C%96%E7%89%87%E3%80%81%E8%81%B2%E9%9F%B3+AI+%E9%AB%94%E9%A9%97%E7%AB%99+%E6%AF%94%E8%BC%83%E4%B8%8D%E5%90%8C%E7%94%9F%E6%88%90%E5%AA%92%E4%BB%8B%E7%9A%84%E8%BC%B8%E5%85%A5%E3%80%81%E8%BC%B8%E5%87%BA%E3%80%81%E9%99%90%E5%88%B6%E8%88%87%E9%A2%A8%E9%9A%AA+hands+on+project+for+kids+Mac+digital+literacy+internet+safety</x:v>
      </x:c>
      <x:c r="Z14" s="38" t="str">
        <x:v>課中實作參考</x:v>
      </x:c>
      <x:c r="AA14" s="38" t="str">
        <x:v>文字、圖片、聲音 AI 體驗站 中文 教學 原理 安全 親子 Mac digital literacy internet safety</x:v>
      </x:c>
      <x:c r="AB14" s="38" t="str">
        <x:v>https://www.youtube.com/results?search_query=%E6%96%87%E5%AD%97%E3%80%81%E5%9C%96%E7%89%87%E3%80%81%E8%81%B2%E9%9F%B3+AI+%E9%AB%94%E9%A9%97%E7%AB%99+%E4%B8%AD%E6%96%87+%E6%95%99%E5%AD%B8+%E5%8E%9F%E7%90%86+%E5%AE%89%E5%85%A8+%E8%A6%AA%E5%AD%90+Mac+digital+literacy+internet+safety</x:v>
      </x:c>
      <x:c r="AC14" s="38" t="str">
        <x:v>課後延伸／親子討論</x:v>
      </x:c>
    </x:row>
    <x:row r="15" ht="105" customHeight="1">
      <x:c r="A15" s="40" t="n">
        <x:v>14</x:v>
      </x:c>
      <x:c r="B15" s="40" t="str">
        <x:v>第 1 年</x:v>
      </x:c>
      <x:c r="C15" s="40" t="str">
        <x:v>M01 數位探險家：Mac、網路、AI 與安全</x:v>
      </x:c>
      <x:c r="D15" s="40" t="n">
        <x:v>14</x:v>
      </x:c>
      <x:c r="E15" s="40" t="str">
        <x:v>我們家的科技公約</x:v>
      </x:c>
      <x:c r="F15" s="40" t="str">
        <x:v>數位素養／AI 素養／網路安全</x:v>
      </x:c>
      <x:c r="G15" s="40" t="str">
        <x:v>共同建立使用時間、付費、隱私、AI 作業與求助規則</x:v>
      </x:c>
      <x:c r="H15" s="40" t="str">
        <x:v>00–10 任務開場：我們家的科技公約
10–25 概念示範：共同建立使用時間、付費、隱私、AI 作業與求助規則
25–65 父子共同實作：父子各提出 5 條規則，協商成可執行版本
65–75 休息／走動／聊天
75–105 孩子獨立改造：增加一個自選規則或功能
105–115 角色互換：孩子教爸爸操作與原理
115–120 錄音總結、作品命名、版本存檔</x:v>
      </x:c>
      <x:c r="I15" s="40" t="str">
        <x:v>父子各提出 5 條規則，協商成可執行版本</x:v>
      </x:c>
      <x:c r="J15" s="40" t="str">
        <x:v>競速</x:v>
      </x:c>
      <x:c r="K15" s="40" t="str">
        <x:v>家庭科技公約 v1.0</x:v>
      </x:c>
      <x:c r="L15" s="40" t="str">
        <x:v>數位公民</x:v>
      </x:c>
      <x:c r="M15" s="40" t="str">
        <x:v>確認兒童帳號、家庭備份與瀏覽器可用；準備不含真實個資的範例。</x:v>
      </x:c>
      <x:c r="N15" s="40" t="str">
        <x:v>15–30 分鐘自由改造；寫三句學習日誌：我做了什麼、哪裡卡住、下次想加什麼。</x:v>
      </x:c>
      <x:c r="O15" s="40" t="str">
        <x:v>完成「家庭科技公約 v1.0」；能不用看稿說出核心原理；能指出至少一個錯誤、限制或安全注意事項。</x:v>
      </x:c>
      <x:c r="P15" s="40" t="str">
        <x:v>R24</x:v>
      </x:c>
      <x:c r="Q15" s="40" t="str">
        <x:v>https://safety.google/intl/en_us/safety/security-tips/</x:v>
      </x:c>
      <x:c r="R15" s="40" t="str">
        <x:v>請孩子回答：1. 我們家的科技公約在解決什麼？2. 我怎麼做？3. 哪裡容易錯？4. 生活中哪裡會用到？</x:v>
      </x:c>
      <x:c r="S15" s="40" t="str">
        <x:v>父子科技課 #014｜我們家的科技公約</x:v>
      </x:c>
      <x:c r="T15" s="40" t="n">
        <x:v>2</x:v>
      </x:c>
      <x:c r="U15" s="38" t="str">
        <x:v>我們家的科技公約 Mac digital literacy internet safety beginner tutorial Apple</x:v>
      </x:c>
      <x:c r="V15" s="38" t="str">
        <x:v>https://www.youtube.com/results?search_query=%E6%88%91%E5%80%91%E5%AE%B6%E7%9A%84%E7%A7%91%E6%8A%80%E5%85%AC%E7%B4%84+Mac+digital+literacy+internet+safety+beginner+tutorial+Apple</x:v>
      </x:c>
      <x:c r="W15" s="38" t="str">
        <x:v>課前暖身</x:v>
      </x:c>
      <x:c r="X15" s="38" t="str">
        <x:v>我們家的科技公約 共同建立使用時間、付費、隱私、AI 作業與求助規則 hands on project for kids Mac digital literacy internet safety</x:v>
      </x:c>
      <x:c r="Y15" s="38" t="str">
        <x:v>https://www.youtube.com/results?search_query=%E6%88%91%E5%80%91%E5%AE%B6%E7%9A%84%E7%A7%91%E6%8A%80%E5%85%AC%E7%B4%84+%E5%85%B1%E5%90%8C%E5%BB%BA%E7%AB%8B%E4%BD%BF%E7%94%A8%E6%99%82%E9%96%93%E3%80%81%E4%BB%98%E8%B2%BB%E3%80%81%E9%9A%B1%E7%A7%81%E3%80%81AI+%E4%BD%9C%E6%A5%AD%E8%88%87%E6%B1%82%E5%8A%A9%E8%A6%8F%E5%89%87+hands+on+project+for+kids+Mac+digital+literacy+internet+safety</x:v>
      </x:c>
      <x:c r="Z15" s="38" t="str">
        <x:v>課中實作參考</x:v>
      </x:c>
      <x:c r="AA15" s="38" t="str">
        <x:v>我們家的科技公約 中文 教學 原理 安全 親子 Mac digital literacy internet safety</x:v>
      </x:c>
      <x:c r="AB15" s="38" t="str">
        <x:v>https://www.youtube.com/results?search_query=%E6%88%91%E5%80%91%E5%AE%B6%E7%9A%84%E7%A7%91%E6%8A%80%E5%85%AC%E7%B4%84+%E4%B8%AD%E6%96%87+%E6%95%99%E5%AD%B8+%E5%8E%9F%E7%90%86+%E5%AE%89%E5%85%A8+%E8%A6%AA%E5%AD%90+Mac+digital+literacy+internet+safety</x:v>
      </x:c>
      <x:c r="AC15" s="38" t="str">
        <x:v>課後延伸／親子討論</x:v>
      </x:c>
    </x:row>
    <x:row r="16" ht="105" customHeight="1">
      <x:c r="A16" s="40" t="n">
        <x:v>15</x:v>
      </x:c>
      <x:c r="B16" s="40" t="str">
        <x:v>第 1 年</x:v>
      </x:c>
      <x:c r="C16" s="40" t="str">
        <x:v>M01 數位探險家：Mac、網路、AI 與安全</x:v>
      </x:c>
      <x:c r="D16" s="40" t="n">
        <x:v>15</x:v>
      </x:c>
      <x:c r="E16" s="40" t="str">
        <x:v>迷你專案：數位安全逃脫室</x:v>
      </x:c>
      <x:c r="F16" s="40" t="str">
        <x:v>數位素養／AI 素養／網路安全</x:v>
      </x:c>
      <x:c r="G16" s="40" t="str">
        <x:v>整合搜尋、密碼、釣魚、個資與 AI 查核</x:v>
      </x:c>
      <x:c r="H16" s="40" t="str">
        <x:v>00–10 任務開場：迷你專案：數位安全逃脫室
10–25 概念示範：整合搜尋、密碼、釣魚、個資與 AI 查核
25–65 父子共同實作：設計 5 關謎題讓爸爸闖關，包含一關假訊息與一關 AI 查核
65–75 休息／走動／聊天
75–105 孩子獨立改造：增加一個自選規則或功能
105–115 角色互換：孩子教爸爸操作與原理
115–120 錄音總結、作品命名、版本存檔</x:v>
      </x:c>
      <x:c r="I16" s="40" t="str">
        <x:v>設計 5 關謎題讓爸爸闖關，包含一關假訊息與一關 AI 查核</x:v>
      </x:c>
      <x:c r="J16" s="40" t="str">
        <x:v>角色扮演</x:v>
      </x:c>
      <x:c r="K16" s="40" t="str">
        <x:v>可玩的逃脫室</x:v>
      </x:c>
      <x:c r="L16" s="40" t="str">
        <x:v>安全</x:v>
      </x:c>
      <x:c r="M16" s="40" t="str">
        <x:v>確認兒童帳號、家庭備份與瀏覽器可用；準備不含真實個資的範例。</x:v>
      </x:c>
      <x:c r="N16" s="40" t="str">
        <x:v>15–30 分鐘自由改造；寫三句學習日誌：我做了什麼、哪裡卡住、下次想加什麼。</x:v>
      </x:c>
      <x:c r="O16" s="40" t="str">
        <x:v>完成「可玩的逃脫室」；能不用看稿說出核心原理；能指出至少一個錯誤、限制或安全注意事項。</x:v>
      </x:c>
      <x:c r="P16" s="40" t="str">
        <x:v>R22,R23</x:v>
      </x:c>
      <x:c r="Q16" s="40" t="str">
        <x:v>https://consumer.ftc.gov/articles/how-recognize-avoid-phishing-scams</x:v>
      </x:c>
      <x:c r="R16" s="40" t="str">
        <x:v>請孩子回答：1. 迷你專案：數位安全逃脫室在解決什麼？2. 我怎麼做？3. 哪裡容易錯？4. 生活中哪裡會用到？</x:v>
      </x:c>
      <x:c r="S16" s="40" t="str">
        <x:v>父子科技課 #015｜迷你專案：數位安全逃脫室</x:v>
      </x:c>
      <x:c r="T16" s="40" t="n">
        <x:v>2</x:v>
      </x:c>
      <x:c r="U16" s="38" t="str">
        <x:v>迷你專案 數位安全逃脫室 Mac digital literacy internet safety beginner tutorial Apple</x:v>
      </x:c>
      <x:c r="V16" s="38" t="str">
        <x:v>https://www.youtube.com/results?search_query=%E8%BF%B7%E4%BD%A0%E5%B0%88%E6%A1%88+%E6%95%B8%E4%BD%8D%E5%AE%89%E5%85%A8%E9%80%83%E8%84%AB%E5%AE%A4+Mac+digital+literacy+internet+safety+beginner+tutorial+Apple</x:v>
      </x:c>
      <x:c r="W16" s="38" t="str">
        <x:v>課前暖身</x:v>
      </x:c>
      <x:c r="X16" s="38" t="str">
        <x:v>迷你專案 數位安全逃脫室 整合搜尋、密碼、釣魚、個資與 AI 查核 hands on project for kids Mac digital literacy internet</x:v>
      </x:c>
      <x:c r="Y16" s="38" t="str">
        <x:v>https://www.youtube.com/results?search_query=%E8%BF%B7%E4%BD%A0%E5%B0%88%E6%A1%88+%E6%95%B8%E4%BD%8D%E5%AE%89%E5%85%A8%E9%80%83%E8%84%AB%E5%AE%A4+%E6%95%B4%E5%90%88%E6%90%9C%E5%B0%8B%E3%80%81%E5%AF%86%E7%A2%BC%E3%80%81%E9%87%A3%E9%AD%9A%E3%80%81%E5%80%8B%E8%B3%87%E8%88%87+AI+%E6%9F%A5%E6%A0%B8+hands+on+project+for+kids+Mac+digital+literacy+internet+safety</x:v>
      </x:c>
      <x:c r="Z16" s="38" t="str">
        <x:v>課中實作參考</x:v>
      </x:c>
      <x:c r="AA16" s="38" t="str">
        <x:v>迷你專案 數位安全逃脫室 中文 教學 原理 安全 親子 Mac digital literacy internet safety</x:v>
      </x:c>
      <x:c r="AB16" s="38" t="str">
        <x:v>https://www.youtube.com/results?search_query=%E8%BF%B7%E4%BD%A0%E5%B0%88%E6%A1%88+%E6%95%B8%E4%BD%8D%E5%AE%89%E5%85%A8%E9%80%83%E8%84%AB%E5%AE%A4+%E4%B8%AD%E6%96%87+%E6%95%99%E5%AD%B8+%E5%8E%9F%E7%90%86+%E5%AE%89%E5%85%A8+%E8%A6%AA%E5%AD%90+Mac+digital+literacy+internet+safety</x:v>
      </x:c>
      <x:c r="AC16" s="38" t="str">
        <x:v>課後延伸／親子討論</x:v>
      </x:c>
    </x:row>
    <x:row r="17" ht="105" customHeight="1">
      <x:c r="A17" s="40" t="n">
        <x:v>16</x:v>
      </x:c>
      <x:c r="B17" s="40" t="str">
        <x:v>第 1 年</x:v>
      </x:c>
      <x:c r="C17" s="40" t="str">
        <x:v>M01 數位探險家：Mac、網路、AI 與安全</x:v>
      </x:c>
      <x:c r="D17" s="40" t="n">
        <x:v>16</x:v>
      </x:c>
      <x:c r="E17" s="40" t="str">
        <x:v>成果發表：我的數位公民手冊</x:v>
      </x:c>
      <x:c r="F17" s="40" t="str">
        <x:v>數位素養／AI 素養／網路安全</x:v>
      </x:c>
      <x:c r="G17" s="40" t="str">
        <x:v>練習整理、解說、示範、回饋與版本更新</x:v>
      </x:c>
      <x:c r="H17" s="40" t="str">
        <x:v>00–10 任務開場：成果發表：我的數位公民手冊
10–25 概念示範：練習整理、解說、示範、回饋與版本更新
25–65 父子共同實作：孩子以 5 分鐘教學帶爸爸走完手冊，錄製第一集課程素材
65–75 休息／走動／聊天
75–105 孩子獨立改造：增加一個自選規則或功能
105–115 角色互換：孩子教爸爸操作與原理
115–120 錄音總結、作品命名、版本存檔</x:v>
      </x:c>
      <x:c r="I17" s="40" t="str">
        <x:v>孩子以 5 分鐘教學帶爸爸走完手冊，錄製第一集課程素材</x:v>
      </x:c>
      <x:c r="J17" s="40" t="str">
        <x:v>偵探辦案</x:v>
      </x:c>
      <x:c r="K17" s="40" t="str">
        <x:v>數位公民手冊＋發表錄音</x:v>
      </x:c>
      <x:c r="L17" s="40" t="str">
        <x:v>溝通表達</x:v>
      </x:c>
      <x:c r="M17" s="40" t="str">
        <x:v>確認兒童帳號、家庭備份與瀏覽器可用；準備不含真實個資的範例。</x:v>
      </x:c>
      <x:c r="N17" s="40" t="str">
        <x:v>15–30 分鐘自由改造；寫三句學習日誌：我做了什麼、哪裡卡住、下次想加什麼。</x:v>
      </x:c>
      <x:c r="O17" s="40" t="str">
        <x:v>完成「數位公民手冊＋發表錄音」；能不用看稿說出核心原理；能指出至少一個錯誤、限制或安全注意事項。</x:v>
      </x:c>
      <x:c r="P17" s="40" t="str">
        <x:v>R01,R24</x:v>
      </x:c>
      <x:c r="Q17" s="40" t="str">
        <x:v>https://support.apple.com/guide/mac-help/welcome/mac</x:v>
      </x:c>
      <x:c r="R17" s="40" t="str">
        <x:v>請孩子回答：1. 成果發表：我的數位公民手冊在解決什麼？2. 我怎麼做？3. 哪裡容易錯？4. 生活中哪裡會用到？</x:v>
      </x:c>
      <x:c r="S17" s="40" t="str">
        <x:v>父子科技課 #016｜成果發表：我的數位公民手冊</x:v>
      </x:c>
      <x:c r="T17" s="40" t="n">
        <x:v>2</x:v>
      </x:c>
      <x:c r="U17" s="38" t="str">
        <x:v>成果發表 我的數位公民手冊 Mac digital literacy internet safety beginner tutorial Apple</x:v>
      </x:c>
      <x:c r="V17" s="38" t="str">
        <x:v>https://www.youtube.com/results?search_query=%E6%88%90%E6%9E%9C%E7%99%BC%E8%A1%A8+%E6%88%91%E7%9A%84%E6%95%B8%E4%BD%8D%E5%85%AC%E6%B0%91%E6%89%8B%E5%86%8A+Mac+digital+literacy+internet+safety+beginner+tutorial+Apple</x:v>
      </x:c>
      <x:c r="W17" s="38" t="str">
        <x:v>課前暖身</x:v>
      </x:c>
      <x:c r="X17" s="38" t="str">
        <x:v>成果發表 我的數位公民手冊 練習整理、解說、示範、回饋與版本更新 hands on project for kids Mac digital literacy internet safety</x:v>
      </x:c>
      <x:c r="Y17" s="38" t="str">
        <x:v>https://www.youtube.com/results?search_query=%E6%88%90%E6%9E%9C%E7%99%BC%E8%A1%A8+%E6%88%91%E7%9A%84%E6%95%B8%E4%BD%8D%E5%85%AC%E6%B0%91%E6%89%8B%E5%86%8A+%E7%B7%B4%E7%BF%92%E6%95%B4%E7%90%86%E3%80%81%E8%A7%A3%E8%AA%AA%E3%80%81%E7%A4%BA%E7%AF%84%E3%80%81%E5%9B%9E%E9%A5%8B%E8%88%87%E7%89%88%E6%9C%AC%E6%9B%B4%E6%96%B0+hands+on+project+for+kids+Mac+digital+literacy+internet+safety</x:v>
      </x:c>
      <x:c r="Z17" s="38" t="str">
        <x:v>課中實作參考</x:v>
      </x:c>
      <x:c r="AA17" s="38" t="str">
        <x:v>成果發表 我的數位公民手冊 中文 教學 原理 安全 親子 Mac digital literacy internet safety</x:v>
      </x:c>
      <x:c r="AB17" s="38" t="str">
        <x:v>https://www.youtube.com/results?search_query=%E6%88%90%E6%9E%9C%E7%99%BC%E8%A1%A8+%E6%88%91%E7%9A%84%E6%95%B8%E4%BD%8D%E5%85%AC%E6%B0%91%E6%89%8B%E5%86%8A+%E4%B8%AD%E6%96%87+%E6%95%99%E5%AD%B8+%E5%8E%9F%E7%90%86+%E5%AE%89%E5%85%A8+%E8%A6%AA%E5%AD%90+Mac+digital+literacy+internet+safety</x:v>
      </x:c>
      <x:c r="AC17" s="38" t="str">
        <x:v>課後延伸／親子討論</x:v>
      </x:c>
    </x:row>
    <x:row r="18" ht="105" customHeight="1">
      <x:c r="A18" s="40" t="n">
        <x:v>17</x:v>
      </x:c>
      <x:c r="B18" s="40" t="str">
        <x:v>第 1 年</x:v>
      </x:c>
      <x:c r="C18" s="40" t="str">
        <x:v>M02 Scratch 創意遊戲與計算思維</x:v>
      </x:c>
      <x:c r="D18" s="40" t="n">
        <x:v>1</x:v>
      </x:c>
      <x:c r="E18" s="40" t="str">
        <x:v>角色真的動起來了</x:v>
      </x:c>
      <x:c r="F18" s="40" t="str">
        <x:v>計算思維／視覺化程式／遊戲設計</x:v>
      </x:c>
      <x:c r="G18" s="40" t="str">
        <x:v>理解角色、舞台、座標、積木與順序執行</x:v>
      </x:c>
      <x:c r="H18" s="40" t="str">
        <x:v>00–10 任務開場：角色真的動起來了
10–25 概念示範：理解角色、舞台、座標、積木與順序執行
25–65 父子共同實作：讓角色走出自己的名字形狀，再加一個勝利動作
65–75 休息／走動／聊天
75–105 孩子獨立改造：增加一個自選規則或功能
105–115 角色互換：孩子教爸爸操作與原理
115–120 錄音總結、作品命名、版本存檔</x:v>
      </x:c>
      <x:c r="I18" s="40" t="str">
        <x:v>讓角色走出自己的名字形狀，再加一個勝利動作</x:v>
      </x:c>
      <x:c r="J18" s="40" t="str">
        <x:v>闖關</x:v>
      </x:c>
      <x:c r="K18" s="40" t="str">
        <x:v>會走字的角色動畫</x:v>
      </x:c>
      <x:c r="L18" s="40" t="str">
        <x:v>創意與設計</x:v>
      </x:c>
      <x:c r="M18" s="40" t="str">
        <x:v>登入 Scratch；先試跑範例積木；準備紙筆與可選素材。</x:v>
      </x:c>
      <x:c r="N18" s="40" t="str">
        <x:v>15–30 分鐘自由改造；寫三句學習日誌：我做了什麼、哪裡卡住、下次想加什麼。</x:v>
      </x:c>
      <x:c r="O18" s="40" t="str">
        <x:v>完成「會走字的角色動畫」；能不用看稿說出核心原理；能指出至少一個錯誤、限制或安全注意事項。</x:v>
      </x:c>
      <x:c r="P18" s="40" t="str">
        <x:v>R02</x:v>
      </x:c>
      <x:c r="Q18" s="40" t="str">
        <x:v>https://scratch.mit.edu/</x:v>
      </x:c>
      <x:c r="R18" s="40" t="str">
        <x:v>請孩子回答：1. 角色真的動起來了在解決什麼？2. 我怎麼做？3. 哪裡容易錯？4. 生活中哪裡會用到？</x:v>
      </x:c>
      <x:c r="S18" s="40" t="str">
        <x:v>父子科技課 #017｜角色真的動起來了</x:v>
      </x:c>
      <x:c r="T18" s="40" t="n">
        <x:v>1</x:v>
      </x:c>
      <x:c r="U18" s="38" t="str">
        <x:v>角色真的動起來了 Scratch coding game animation beginner tutorial Scratch</x:v>
      </x:c>
      <x:c r="V18" s="38" t="str">
        <x:v>https://www.youtube.com/results?search_query=%E8%A7%92%E8%89%B2%E7%9C%9F%E7%9A%84%E5%8B%95%E8%B5%B7%E4%BE%86%E4%BA%86+Scratch+coding+game+animation+beginner+tutorial+Scratch</x:v>
      </x:c>
      <x:c r="W18" s="38" t="str">
        <x:v>課前暖身</x:v>
      </x:c>
      <x:c r="X18" s="38" t="str">
        <x:v>角色真的動起來了 理解角色、舞台、座標、積木與順序執行 hands on project for kids Scratch coding game animation</x:v>
      </x:c>
      <x:c r="Y18" s="38" t="str">
        <x:v>https://www.youtube.com/results?search_query=%E8%A7%92%E8%89%B2%E7%9C%9F%E7%9A%84%E5%8B%95%E8%B5%B7%E4%BE%86%E4%BA%86+%E7%90%86%E8%A7%A3%E8%A7%92%E8%89%B2%E3%80%81%E8%88%9E%E5%8F%B0%E3%80%81%E5%BA%A7%E6%A8%99%E3%80%81%E7%A9%8D%E6%9C%A8%E8%88%87%E9%A0%86%E5%BA%8F%E5%9F%B7%E8%A1%8C+hands+on+project+for+kids+Scratch+coding+game+animation</x:v>
      </x:c>
      <x:c r="Z18" s="38" t="str">
        <x:v>課中實作參考</x:v>
      </x:c>
      <x:c r="AA18" s="38" t="str">
        <x:v>角色真的動起來了 中文 教學 原理 安全 親子 Scratch coding game animation</x:v>
      </x:c>
      <x:c r="AB18" s="38" t="str">
        <x:v>https://www.youtube.com/results?search_query=%E8%A7%92%E8%89%B2%E7%9C%9F%E7%9A%84%E5%8B%95%E8%B5%B7%E4%BE%86%E4%BA%86+%E4%B8%AD%E6%96%87+%E6%95%99%E5%AD%B8+%E5%8E%9F%E7%90%86+%E5%AE%89%E5%85%A8+%E8%A6%AA%E5%AD%90+Scratch+coding+game+animation</x:v>
      </x:c>
      <x:c r="AC18" s="38" t="str">
        <x:v>課後延伸／親子討論</x:v>
      </x:c>
    </x:row>
    <x:row r="19" ht="105" customHeight="1">
      <x:c r="A19" s="40" t="n">
        <x:v>18</x:v>
      </x:c>
      <x:c r="B19" s="40" t="str">
        <x:v>第 1 年</x:v>
      </x:c>
      <x:c r="C19" s="40" t="str">
        <x:v>M02 Scratch 創意遊戲與計算思維</x:v>
      </x:c>
      <x:c r="D19" s="40" t="n">
        <x:v>2</x:v>
      </x:c>
      <x:c r="E19" s="40" t="str">
        <x:v>事件：誰先按下開始鍵</x:v>
      </x:c>
      <x:c r="F19" s="40" t="str">
        <x:v>計算思維／視覺化程式／遊戲設計</x:v>
      </x:c>
      <x:c r="G19" s="40" t="str">
        <x:v>理解綠旗、按鍵、點擊與事件驅動</x:v>
      </x:c>
      <x:c r="H19" s="40" t="str">
        <x:v>00–10 任務開場：事件：誰先按下開始鍵
10–25 概念示範：理解綠旗、按鍵、點擊與事件驅動
25–65 父子共同實作：設計三種啟動方式，讓角色有不同反應
65–75 休息／走動／聊天
75–105 孩子獨立改造：增加一個自選規則或功能
105–115 角色互換：孩子教爸爸操作與原理
115–120 錄音總結、作品命名、版本存檔</x:v>
      </x:c>
      <x:c r="I19" s="40" t="str">
        <x:v>設計三種啟動方式，讓角色有不同反應</x:v>
      </x:c>
      <x:c r="J19" s="40" t="str">
        <x:v>Boss 戰</x:v>
      </x:c>
      <x:c r="K19" s="40" t="str">
        <x:v>互動式角色玩具</x:v>
      </x:c>
      <x:c r="L19" s="40" t="str">
        <x:v>創意與耐挫</x:v>
      </x:c>
      <x:c r="M19" s="40" t="str">
        <x:v>登入 Scratch；先試跑範例積木；準備紙筆與可選素材。</x:v>
      </x:c>
      <x:c r="N19" s="40" t="str">
        <x:v>15–30 分鐘自由改造；寫三句學習日誌：我做了什麼、哪裡卡住、下次想加什麼。</x:v>
      </x:c>
      <x:c r="O19" s="40" t="str">
        <x:v>完成「互動式角色玩具」；能不用看稿說出核心原理；能指出至少一個錯誤、限制或安全注意事項。</x:v>
      </x:c>
      <x:c r="P19" s="40" t="str">
        <x:v>R02</x:v>
      </x:c>
      <x:c r="Q19" s="40" t="str">
        <x:v>https://scratch.mit.edu/</x:v>
      </x:c>
      <x:c r="R19" s="40" t="str">
        <x:v>請孩子回答：1. 事件：誰先按下開始鍵在解決什麼？2. 我怎麼做？3. 哪裡容易錯？4. 生活中哪裡會用到？</x:v>
      </x:c>
      <x:c r="S19" s="40" t="str">
        <x:v>父子科技課 #018｜事件：誰先按下開始鍵</x:v>
      </x:c>
      <x:c r="T19" s="40" t="n">
        <x:v>1</x:v>
      </x:c>
      <x:c r="U19" s="38" t="str">
        <x:v>事件 誰先按下開始鍵 Scratch coding game animation beginner tutorial Scratch</x:v>
      </x:c>
      <x:c r="V19" s="38" t="str">
        <x:v>https://www.youtube.com/results?search_query=%E4%BA%8B%E4%BB%B6+%E8%AA%B0%E5%85%88%E6%8C%89%E4%B8%8B%E9%96%8B%E5%A7%8B%E9%8D%B5+Scratch+coding+game+animation+beginner+tutorial+Scratch</x:v>
      </x:c>
      <x:c r="W19" s="38" t="str">
        <x:v>課前暖身</x:v>
      </x:c>
      <x:c r="X19" s="38" t="str">
        <x:v>事件 誰先按下開始鍵 理解綠旗、按鍵、點擊與事件驅動 hands on project for kids Scratch coding game animation</x:v>
      </x:c>
      <x:c r="Y19" s="38" t="str">
        <x:v>https://www.youtube.com/results?search_query=%E4%BA%8B%E4%BB%B6+%E8%AA%B0%E5%85%88%E6%8C%89%E4%B8%8B%E9%96%8B%E5%A7%8B%E9%8D%B5+%E7%90%86%E8%A7%A3%E7%B6%A0%E6%97%97%E3%80%81%E6%8C%89%E9%8D%B5%E3%80%81%E9%BB%9E%E6%93%8A%E8%88%87%E4%BA%8B%E4%BB%B6%E9%A9%85%E5%8B%95+hands+on+project+for+kids+Scratch+coding+game+animation</x:v>
      </x:c>
      <x:c r="Z19" s="38" t="str">
        <x:v>課中實作參考</x:v>
      </x:c>
      <x:c r="AA19" s="38" t="str">
        <x:v>事件 誰先按下開始鍵 中文 教學 原理 安全 親子 Scratch coding game animation</x:v>
      </x:c>
      <x:c r="AB19" s="38" t="str">
        <x:v>https://www.youtube.com/results?search_query=%E4%BA%8B%E4%BB%B6+%E8%AA%B0%E5%85%88%E6%8C%89%E4%B8%8B%E9%96%8B%E5%A7%8B%E9%8D%B5+%E4%B8%AD%E6%96%87+%E6%95%99%E5%AD%B8+%E5%8E%9F%E7%90%86+%E5%AE%89%E5%85%A8+%E8%A6%AA%E5%AD%90+Scratch+coding+game+animation</x:v>
      </x:c>
      <x:c r="AC19" s="38" t="str">
        <x:v>課後延伸／親子討論</x:v>
      </x:c>
    </x:row>
    <x:row r="20" ht="105" customHeight="1">
      <x:c r="A20" s="40" t="n">
        <x:v>19</x:v>
      </x:c>
      <x:c r="B20" s="40" t="str">
        <x:v>第 1 年</x:v>
      </x:c>
      <x:c r="C20" s="40" t="str">
        <x:v>M02 Scratch 創意遊戲與計算思維</x:v>
      </x:c>
      <x:c r="D20" s="40" t="n">
        <x:v>3</x:v>
      </x:c>
      <x:c r="E20" s="40" t="str">
        <x:v>迴圈舞蹈機器人</x:v>
      </x:c>
      <x:c r="F20" s="40" t="str">
        <x:v>計算思維／視覺化程式／遊戲設計</x:v>
      </x:c>
      <x:c r="G20" s="40" t="str">
        <x:v>用 repeat/forever 減少重複並創造節奏</x:v>
      </x:c>
      <x:c r="H20" s="40" t="str">
        <x:v>00–10 任務開場：迴圈舞蹈機器人
10–25 概念示範：用 repeat/forever 減少重複並創造節奏
25–65 父子共同實作：把 20 個重複動作縮成迴圈，配合音樂做舞步
65–75 休息／走動／聊天
75–105 孩子獨立改造：增加一個自選規則或功能
105–115 角色互換：孩子教爸爸操作與原理
115–120 錄音總結、作品命名、版本存檔</x:v>
      </x:c>
      <x:c r="I20" s="40" t="str">
        <x:v>把 20 個重複動作縮成迴圈，配合音樂做舞步</x:v>
      </x:c>
      <x:c r="J20" s="40" t="str">
        <x:v>交換作品</x:v>
      </x:c>
      <x:c r="K20" s="40" t="str">
        <x:v>舞蹈機器人</x:v>
      </x:c>
      <x:c r="L20" s="40" t="str">
        <x:v>創意與耐挫</x:v>
      </x:c>
      <x:c r="M20" s="40" t="str">
        <x:v>登入 Scratch；先試跑範例積木；準備紙筆與可選素材。</x:v>
      </x:c>
      <x:c r="N20" s="40" t="str">
        <x:v>15–30 分鐘自由改造；寫三句學習日誌：我做了什麼、哪裡卡住、下次想加什麼。</x:v>
      </x:c>
      <x:c r="O20" s="40" t="str">
        <x:v>完成「舞蹈機器人」；能不用看稿說出核心原理；能指出至少一個錯誤、限制或安全注意事項。</x:v>
      </x:c>
      <x:c r="P20" s="40" t="str">
        <x:v>R02</x:v>
      </x:c>
      <x:c r="Q20" s="40" t="str">
        <x:v>https://scratch.mit.edu/</x:v>
      </x:c>
      <x:c r="R20" s="40" t="str">
        <x:v>請孩子回答：1. 迴圈舞蹈機器人在解決什麼？2. 我怎麼做？3. 哪裡容易錯？4. 生活中哪裡會用到？</x:v>
      </x:c>
      <x:c r="S20" s="40" t="str">
        <x:v>父子科技課 #019｜迴圈舞蹈機器人</x:v>
      </x:c>
      <x:c r="T20" s="40" t="n">
        <x:v>1</x:v>
      </x:c>
      <x:c r="U20" s="38" t="str">
        <x:v>迴圈舞蹈機器人 Scratch coding game animation beginner tutorial Scratch</x:v>
      </x:c>
      <x:c r="V20" s="38" t="str">
        <x:v>https://www.youtube.com/results?search_query=%E8%BF%B4%E5%9C%88%E8%88%9E%E8%B9%88%E6%A9%9F%E5%99%A8%E4%BA%BA+Scratch+coding+game+animation+beginner+tutorial+Scratch</x:v>
      </x:c>
      <x:c r="W20" s="38" t="str">
        <x:v>課前暖身</x:v>
      </x:c>
      <x:c r="X20" s="38" t="str">
        <x:v>迴圈舞蹈機器人 用 repeat/forever 減少重複並創造節奏 hands on project for kids Scratch coding game animation</x:v>
      </x:c>
      <x:c r="Y20" s="38" t="str">
        <x:v>https://www.youtube.com/results?search_query=%E8%BF%B4%E5%9C%88%E8%88%9E%E8%B9%88%E6%A9%9F%E5%99%A8%E4%BA%BA+%E7%94%A8+repeat%2Fforever+%E6%B8%9B%E5%B0%91%E9%87%8D%E8%A4%87%E4%B8%A6%E5%89%B5%E9%80%A0%E7%AF%80%E5%A5%8F+hands+on+project+for+kids+Scratch+coding+game+animation</x:v>
      </x:c>
      <x:c r="Z20" s="38" t="str">
        <x:v>課中實作參考</x:v>
      </x:c>
      <x:c r="AA20" s="38" t="str">
        <x:v>迴圈舞蹈機器人 中文 教學 原理 安全 親子 Scratch coding game animation</x:v>
      </x:c>
      <x:c r="AB20" s="38" t="str">
        <x:v>https://www.youtube.com/results?search_query=%E8%BF%B4%E5%9C%88%E8%88%9E%E8%B9%88%E6%A9%9F%E5%99%A8%E4%BA%BA+%E4%B8%AD%E6%96%87+%E6%95%99%E5%AD%B8+%E5%8E%9F%E7%90%86+%E5%AE%89%E5%85%A8+%E8%A6%AA%E5%AD%90+Scratch+coding+game+animation</x:v>
      </x:c>
      <x:c r="AC20" s="38" t="str">
        <x:v>課後延伸／親子討論</x:v>
      </x:c>
    </x:row>
    <x:row r="21" ht="105" customHeight="1">
      <x:c r="A21" s="40" t="n">
        <x:v>20</x:v>
      </x:c>
      <x:c r="B21" s="40" t="str">
        <x:v>第 1 年</x:v>
      </x:c>
      <x:c r="C21" s="40" t="str">
        <x:v>M02 Scratch 創意遊戲與計算思維</x:v>
      </x:c>
      <x:c r="D21" s="40" t="n">
        <x:v>4</x:v>
      </x:c>
      <x:c r="E21" s="40" t="str">
        <x:v>條件判斷迷宮</x:v>
      </x:c>
      <x:c r="F21" s="40" t="str">
        <x:v>計算思維／視覺化程式／遊戲設計</x:v>
      </x:c>
      <x:c r="G21" s="40" t="str">
        <x:v>理解 if、if/else 與感測條件</x:v>
      </x:c>
      <x:c r="H21" s="40" t="str">
        <x:v>00–10 任務開場：條件判斷迷宮
10–25 概念示範：理解 if、if/else 與感測條件
25–65 父子共同實作：讓角色碰到牆退回、拿到鑰匙才能開門
65–75 休息／走動／聊天
75–105 孩子獨立改造：增加一個自選規則或功能
105–115 角色互換：孩子教爸爸操作與原理
115–120 錄音總結、作品命名、版本存檔</x:v>
      </x:c>
      <x:c r="I21" s="40" t="str">
        <x:v>讓角色碰到牆退回、拿到鑰匙才能開門</x:v>
      </x:c>
      <x:c r="J21" s="40" t="str">
        <x:v>玩家測試</x:v>
      </x:c>
      <x:c r="K21" s="40" t="str">
        <x:v>可通關迷宮</x:v>
      </x:c>
      <x:c r="L21" s="40" t="str">
        <x:v>創意與耐挫</x:v>
      </x:c>
      <x:c r="M21" s="40" t="str">
        <x:v>登入 Scratch；先試跑範例積木；準備紙筆與可選素材。</x:v>
      </x:c>
      <x:c r="N21" s="40" t="str">
        <x:v>15–30 分鐘自由改造；寫三句學習日誌：我做了什麼、哪裡卡住、下次想加什麼。</x:v>
      </x:c>
      <x:c r="O21" s="40" t="str">
        <x:v>完成「可通關迷宮」；能不用看稿說出核心原理；能指出至少一個錯誤、限制或安全注意事項。</x:v>
      </x:c>
      <x:c r="P21" s="40" t="str">
        <x:v>R02</x:v>
      </x:c>
      <x:c r="Q21" s="40" t="str">
        <x:v>https://scratch.mit.edu/</x:v>
      </x:c>
      <x:c r="R21" s="40" t="str">
        <x:v>請孩子回答：1. 條件判斷迷宮在解決什麼？2. 我怎麼做？3. 哪裡容易錯？4. 生活中哪裡會用到？</x:v>
      </x:c>
      <x:c r="S21" s="40" t="str">
        <x:v>父子科技課 #020｜條件判斷迷宮</x:v>
      </x:c>
      <x:c r="T21" s="40" t="n">
        <x:v>1</x:v>
      </x:c>
      <x:c r="U21" s="38" t="str">
        <x:v>條件判斷迷宮 Scratch coding game animation beginner tutorial Scratch</x:v>
      </x:c>
      <x:c r="V21" s="38" t="str">
        <x:v>https://www.youtube.com/results?search_query=%E6%A2%9D%E4%BB%B6%E5%88%A4%E6%96%B7%E8%BF%B7%E5%AE%AE+Scratch+coding+game+animation+beginner+tutorial+Scratch</x:v>
      </x:c>
      <x:c r="W21" s="38" t="str">
        <x:v>課前暖身</x:v>
      </x:c>
      <x:c r="X21" s="38" t="str">
        <x:v>條件判斷迷宮 理解 if、if/else 與感測條件 hands on project for kids Scratch coding game animation</x:v>
      </x:c>
      <x:c r="Y21" s="38" t="str">
        <x:v>https://www.youtube.com/results?search_query=%E6%A2%9D%E4%BB%B6%E5%88%A4%E6%96%B7%E8%BF%B7%E5%AE%AE+%E7%90%86%E8%A7%A3+if%E3%80%81if%2Felse+%E8%88%87%E6%84%9F%E6%B8%AC%E6%A2%9D%E4%BB%B6+hands+on+project+for+kids+Scratch+coding+game+animation</x:v>
      </x:c>
      <x:c r="Z21" s="38" t="str">
        <x:v>課中實作參考</x:v>
      </x:c>
      <x:c r="AA21" s="38" t="str">
        <x:v>條件判斷迷宮 中文 教學 原理 安全 親子 Scratch coding game animation</x:v>
      </x:c>
      <x:c r="AB21" s="38" t="str">
        <x:v>https://www.youtube.com/results?search_query=%E6%A2%9D%E4%BB%B6%E5%88%A4%E6%96%B7%E8%BF%B7%E5%AE%AE+%E4%B8%AD%E6%96%87+%E6%95%99%E5%AD%B8+%E5%8E%9F%E7%90%86+%E5%AE%89%E5%85%A8+%E8%A6%AA%E5%AD%90+Scratch+coding+game+animation</x:v>
      </x:c>
      <x:c r="AC21" s="38" t="str">
        <x:v>課後延伸／親子討論</x:v>
      </x:c>
    </x:row>
    <x:row r="22" ht="105" customHeight="1">
      <x:c r="A22" s="40" t="n">
        <x:v>21</x:v>
      </x:c>
      <x:c r="B22" s="40" t="str">
        <x:v>第 1 年</x:v>
      </x:c>
      <x:c r="C22" s="40" t="str">
        <x:v>M02 Scratch 創意遊戲與計算思維</x:v>
      </x:c>
      <x:c r="D22" s="40" t="n">
        <x:v>5</x:v>
      </x:c>
      <x:c r="E22" s="40" t="str">
        <x:v>變數：分數、血量與時間</x:v>
      </x:c>
      <x:c r="F22" s="40" t="str">
        <x:v>計算思維／視覺化程式／遊戲設計</x:v>
      </x:c>
      <x:c r="G22" s="40" t="str">
        <x:v>用變數保存遊戲狀態</x:v>
      </x:c>
      <x:c r="H22" s="40" t="str">
        <x:v>00–10 任務開場：變數：分數、血量與時間
10–25 概念示範：用變數保存遊戲狀態
25–65 父子共同實作：加入分數、倒數、血量三選二，觀察狀態如何改變
65–75 休息／走動／聊天
75–105 孩子獨立改造：增加一個自選規則或功能
105–115 角色互換：孩子教爸爸操作與原理
115–120 錄音總結、作品命名、版本存檔</x:v>
      </x:c>
      <x:c r="I22" s="40" t="str">
        <x:v>加入分數、倒數、血量三選二，觀察狀態如何改變</x:v>
      </x:c>
      <x:c r="J22" s="40" t="str">
        <x:v>闖關</x:v>
      </x:c>
      <x:c r="K22" s="40" t="str">
        <x:v>有 HUD 的小遊戲</x:v>
      </x:c>
      <x:c r="L22" s="40" t="str">
        <x:v>創意與耐挫</x:v>
      </x:c>
      <x:c r="M22" s="40" t="str">
        <x:v>登入 Scratch；先試跑範例積木；準備紙筆與可選素材。</x:v>
      </x:c>
      <x:c r="N22" s="40" t="str">
        <x:v>15–30 分鐘自由改造；寫三句學習日誌：我做了什麼、哪裡卡住、下次想加什麼。</x:v>
      </x:c>
      <x:c r="O22" s="40" t="str">
        <x:v>完成「有 HUD 的小遊戲」；能不用看稿說出核心原理；能指出至少一個錯誤、限制或安全注意事項。</x:v>
      </x:c>
      <x:c r="P22" s="40" t="str">
        <x:v>R02</x:v>
      </x:c>
      <x:c r="Q22" s="40" t="str">
        <x:v>https://scratch.mit.edu/</x:v>
      </x:c>
      <x:c r="R22" s="40" t="str">
        <x:v>請孩子回答：1. 變數：分數、血量與時間在解決什麼？2. 我怎麼做？3. 哪裡容易錯？4. 生活中哪裡會用到？</x:v>
      </x:c>
      <x:c r="S22" s="40" t="str">
        <x:v>父子科技課 #021｜變數：分數、血量與時間</x:v>
      </x:c>
      <x:c r="T22" s="40" t="n">
        <x:v>1</x:v>
      </x:c>
      <x:c r="U22" s="38" t="str">
        <x:v>變數 分數、血量與時間 Scratch coding game animation beginner tutorial Scratch</x:v>
      </x:c>
      <x:c r="V22" s="38" t="str">
        <x:v>https://www.youtube.com/results?search_query=%E8%AE%8A%E6%95%B8+%E5%88%86%E6%95%B8%E3%80%81%E8%A1%80%E9%87%8F%E8%88%87%E6%99%82%E9%96%93+Scratch+coding+game+animation+beginner+tutorial+Scratch</x:v>
      </x:c>
      <x:c r="W22" s="38" t="str">
        <x:v>課前暖身</x:v>
      </x:c>
      <x:c r="X22" s="38" t="str">
        <x:v>變數 分數、血量與時間 用變數保存遊戲狀態 hands on project for kids Scratch coding game animation</x:v>
      </x:c>
      <x:c r="Y22" s="38" t="str">
        <x:v>https://www.youtube.com/results?search_query=%E8%AE%8A%E6%95%B8+%E5%88%86%E6%95%B8%E3%80%81%E8%A1%80%E9%87%8F%E8%88%87%E6%99%82%E9%96%93+%E7%94%A8%E8%AE%8A%E6%95%B8%E4%BF%9D%E5%AD%98%E9%81%8A%E6%88%B2%E7%8B%80%E6%85%8B+hands+on+project+for+kids+Scratch+coding+game+animation</x:v>
      </x:c>
      <x:c r="Z22" s="38" t="str">
        <x:v>課中實作參考</x:v>
      </x:c>
      <x:c r="AA22" s="38" t="str">
        <x:v>變數 分數、血量與時間 中文 教學 原理 安全 親子 Scratch coding game animation</x:v>
      </x:c>
      <x:c r="AB22" s="38" t="str">
        <x:v>https://www.youtube.com/results?search_query=%E8%AE%8A%E6%95%B8+%E5%88%86%E6%95%B8%E3%80%81%E8%A1%80%E9%87%8F%E8%88%87%E6%99%82%E9%96%93+%E4%B8%AD%E6%96%87+%E6%95%99%E5%AD%B8+%E5%8E%9F%E7%90%86+%E5%AE%89%E5%85%A8+%E8%A6%AA%E5%AD%90+Scratch+coding+game+animation</x:v>
      </x:c>
      <x:c r="AC22" s="38" t="str">
        <x:v>課後延伸／親子討論</x:v>
      </x:c>
    </x:row>
    <x:row r="23" ht="105" customHeight="1">
      <x:c r="A23" s="40" t="n">
        <x:v>22</x:v>
      </x:c>
      <x:c r="B23" s="40" t="str">
        <x:v>第 1 年</x:v>
      </x:c>
      <x:c r="C23" s="40" t="str">
        <x:v>M02 Scratch 創意遊戲與計算思維</x:v>
      </x:c>
      <x:c r="D23" s="40" t="n">
        <x:v>6</x:v>
      </x:c>
      <x:c r="E23" s="40" t="str">
        <x:v>隨機數與機率怪獸</x:v>
      </x:c>
      <x:c r="F23" s="40" t="str">
        <x:v>計算思維／視覺化程式／遊戲設計</x:v>
      </x:c>
      <x:c r="G23" s="40" t="str">
        <x:v>理解隨機帶來的不可預測性與機率</x:v>
      </x:c>
      <x:c r="H23" s="40" t="str">
        <x:v>00–10 任務開場：隨機數與機率怪獸
10–25 概念示範：理解隨機帶來的不可預測性與機率
25–65 父子共同實作：讓怪獸隨機出現，實測 50 次並比較理論與結果
65–75 休息／走動／聊天
75–105 孩子獨立改造：增加一個自選規則或功能
105–115 角色互換：孩子教爸爸操作與原理
115–120 錄音總結、作品命名、版本存檔</x:v>
      </x:c>
      <x:c r="I23" s="40" t="str">
        <x:v>讓怪獸隨機出現，實測 50 次並比較理論與結果</x:v>
      </x:c>
      <x:c r="J23" s="40" t="str">
        <x:v>Boss 戰</x:v>
      </x:c>
      <x:c r="K23" s="40" t="str">
        <x:v>隨機怪獸實驗</x:v>
      </x:c>
      <x:c r="L23" s="40" t="str">
        <x:v>創意與耐挫</x:v>
      </x:c>
      <x:c r="M23" s="40" t="str">
        <x:v>登入 Scratch；先試跑範例積木；準備紙筆與可選素材。</x:v>
      </x:c>
      <x:c r="N23" s="40" t="str">
        <x:v>15–30 分鐘自由改造；寫三句學習日誌：我做了什麼、哪裡卡住、下次想加什麼。</x:v>
      </x:c>
      <x:c r="O23" s="40" t="str">
        <x:v>完成「隨機怪獸實驗」；能不用看稿說出核心原理；能指出至少一個錯誤、限制或安全注意事項。</x:v>
      </x:c>
      <x:c r="P23" s="40" t="str">
        <x:v>R02</x:v>
      </x:c>
      <x:c r="Q23" s="40" t="str">
        <x:v>https://scratch.mit.edu/</x:v>
      </x:c>
      <x:c r="R23" s="40" t="str">
        <x:v>請孩子回答：1. 隨機數與機率怪獸在解決什麼？2. 我怎麼做？3. 哪裡容易錯？4. 生活中哪裡會用到？</x:v>
      </x:c>
      <x:c r="S23" s="40" t="str">
        <x:v>父子科技課 #022｜隨機數與機率怪獸</x:v>
      </x:c>
      <x:c r="T23" s="40" t="n">
        <x:v>1</x:v>
      </x:c>
      <x:c r="U23" s="38" t="str">
        <x:v>隨機數與機率怪獸 Scratch coding game animation beginner tutorial Scratch</x:v>
      </x:c>
      <x:c r="V23" s="38" t="str">
        <x:v>https://www.youtube.com/results?search_query=%E9%9A%A8%E6%A9%9F%E6%95%B8%E8%88%87%E6%A9%9F%E7%8E%87%E6%80%AA%E7%8D%B8+Scratch+coding+game+animation+beginner+tutorial+Scratch</x:v>
      </x:c>
      <x:c r="W23" s="38" t="str">
        <x:v>課前暖身</x:v>
      </x:c>
      <x:c r="X23" s="38" t="str">
        <x:v>隨機數與機率怪獸 理解隨機帶來的不可預測性與機率 hands on project for kids Scratch coding game animation</x:v>
      </x:c>
      <x:c r="Y23" s="38" t="str">
        <x:v>https://www.youtube.com/results?search_query=%E9%9A%A8%E6%A9%9F%E6%95%B8%E8%88%87%E6%A9%9F%E7%8E%87%E6%80%AA%E7%8D%B8+%E7%90%86%E8%A7%A3%E9%9A%A8%E6%A9%9F%E5%B8%B6%E4%BE%86%E7%9A%84%E4%B8%8D%E5%8F%AF%E9%A0%90%E6%B8%AC%E6%80%A7%E8%88%87%E6%A9%9F%E7%8E%87+hands+on+project+for+kids+Scratch+coding+game+animation</x:v>
      </x:c>
      <x:c r="Z23" s="38" t="str">
        <x:v>課中實作參考</x:v>
      </x:c>
      <x:c r="AA23" s="38" t="str">
        <x:v>隨機數與機率怪獸 中文 教學 原理 安全 親子 Scratch coding game animation</x:v>
      </x:c>
      <x:c r="AB23" s="38" t="str">
        <x:v>https://www.youtube.com/results?search_query=%E9%9A%A8%E6%A9%9F%E6%95%B8%E8%88%87%E6%A9%9F%E7%8E%87%E6%80%AA%E7%8D%B8+%E4%B8%AD%E6%96%87+%E6%95%99%E5%AD%B8+%E5%8E%9F%E7%90%86+%E5%AE%89%E5%85%A8+%E8%A6%AA%E5%AD%90+Scratch+coding+game+animation</x:v>
      </x:c>
      <x:c r="AC23" s="38" t="str">
        <x:v>課後延伸／親子討論</x:v>
      </x:c>
    </x:row>
    <x:row r="24" ht="105" customHeight="1">
      <x:c r="A24" s="40" t="n">
        <x:v>23</x:v>
      </x:c>
      <x:c r="B24" s="40" t="str">
        <x:v>第 1 年</x:v>
      </x:c>
      <x:c r="C24" s="40" t="str">
        <x:v>M02 Scratch 創意遊戲與計算思維</x:v>
      </x:c>
      <x:c r="D24" s="40" t="n">
        <x:v>7</x:v>
      </x:c>
      <x:c r="E24" s="40" t="str">
        <x:v>廣播訊息：角色怎麼合作</x:v>
      </x:c>
      <x:c r="F24" s="40" t="str">
        <x:v>計算思維／視覺化程式／遊戲設計</x:v>
      </x:c>
      <x:c r="G24" s="40" t="str">
        <x:v>用 broadcast 解耦多角色流程</x:v>
      </x:c>
      <x:c r="H24" s="40" t="str">
        <x:v>00–10 任務開場：廣播訊息：角色怎麼合作
10–25 概念示範：用 broadcast 解耦多角色流程
25–65 父子共同實作：建立主持人、玩家、敵人三角色的開始/結束訊號
65–75 休息／走動／聊天
75–105 孩子獨立改造：增加一個自選規則或功能
105–115 角色互換：孩子教爸爸操作與原理
115–120 錄音總結、作品命名、版本存檔</x:v>
      </x:c>
      <x:c r="I24" s="40" t="str">
        <x:v>建立主持人、玩家、敵人三角色的開始/結束訊號</x:v>
      </x:c>
      <x:c r="J24" s="40" t="str">
        <x:v>交換作品</x:v>
      </x:c>
      <x:c r="K24" s="40" t="str">
        <x:v>多角色互動場景</x:v>
      </x:c>
      <x:c r="L24" s="40" t="str">
        <x:v>創意與設計</x:v>
      </x:c>
      <x:c r="M24" s="40" t="str">
        <x:v>登入 Scratch；先試跑範例積木；準備紙筆與可選素材。</x:v>
      </x:c>
      <x:c r="N24" s="40" t="str">
        <x:v>15–30 分鐘自由改造；寫三句學習日誌：我做了什麼、哪裡卡住、下次想加什麼。</x:v>
      </x:c>
      <x:c r="O24" s="40" t="str">
        <x:v>完成「多角色互動場景」；能不用看稿說出核心原理；能指出至少一個錯誤、限制或安全注意事項。</x:v>
      </x:c>
      <x:c r="P24" s="40" t="str">
        <x:v>R02</x:v>
      </x:c>
      <x:c r="Q24" s="40" t="str">
        <x:v>https://scratch.mit.edu/</x:v>
      </x:c>
      <x:c r="R24" s="40" t="str">
        <x:v>請孩子回答：1. 廣播訊息：角色怎麼合作在解決什麼？2. 我怎麼做？3. 哪裡容易錯？4. 生活中哪裡會用到？</x:v>
      </x:c>
      <x:c r="S24" s="40" t="str">
        <x:v>父子科技課 #023｜廣播訊息：角色怎麼合作</x:v>
      </x:c>
      <x:c r="T24" s="40" t="n">
        <x:v>1</x:v>
      </x:c>
      <x:c r="U24" s="38" t="str">
        <x:v>廣播訊息 角色怎麼合作 Scratch coding game animation beginner tutorial Scratch</x:v>
      </x:c>
      <x:c r="V24" s="38" t="str">
        <x:v>https://www.youtube.com/results?search_query=%E5%BB%A3%E6%92%AD%E8%A8%8A%E6%81%AF+%E8%A7%92%E8%89%B2%E6%80%8E%E9%BA%BC%E5%90%88%E4%BD%9C+Scratch+coding+game+animation+beginner+tutorial+Scratch</x:v>
      </x:c>
      <x:c r="W24" s="38" t="str">
        <x:v>課前暖身</x:v>
      </x:c>
      <x:c r="X24" s="38" t="str">
        <x:v>廣播訊息 角色怎麼合作 用 broadcast 解耦多角色流程 hands on project for kids Scratch coding game animation</x:v>
      </x:c>
      <x:c r="Y24" s="38" t="str">
        <x:v>https://www.youtube.com/results?search_query=%E5%BB%A3%E6%92%AD%E8%A8%8A%E6%81%AF+%E8%A7%92%E8%89%B2%E6%80%8E%E9%BA%BC%E5%90%88%E4%BD%9C+%E7%94%A8+broadcast+%E8%A7%A3%E8%80%A6%E5%A4%9A%E8%A7%92%E8%89%B2%E6%B5%81%E7%A8%8B+hands+on+project+for+kids+Scratch+coding+game+animation</x:v>
      </x:c>
      <x:c r="Z24" s="38" t="str">
        <x:v>課中實作參考</x:v>
      </x:c>
      <x:c r="AA24" s="38" t="str">
        <x:v>廣播訊息 角色怎麼合作 中文 教學 原理 安全 親子 Scratch coding game animation</x:v>
      </x:c>
      <x:c r="AB24" s="38" t="str">
        <x:v>https://www.youtube.com/results?search_query=%E5%BB%A3%E6%92%AD%E8%A8%8A%E6%81%AF+%E8%A7%92%E8%89%B2%E6%80%8E%E9%BA%BC%E5%90%88%E4%BD%9C+%E4%B8%AD%E6%96%87+%E6%95%99%E5%AD%B8+%E5%8E%9F%E7%90%86+%E5%AE%89%E5%85%A8+%E8%A6%AA%E5%AD%90+Scratch+coding+game+animation</x:v>
      </x:c>
      <x:c r="AC24" s="38" t="str">
        <x:v>課後延伸／親子討論</x:v>
      </x:c>
    </x:row>
    <x:row r="25" ht="105" customHeight="1">
      <x:c r="A25" s="40" t="n">
        <x:v>24</x:v>
      </x:c>
      <x:c r="B25" s="40" t="str">
        <x:v>第 1 年</x:v>
      </x:c>
      <x:c r="C25" s="40" t="str">
        <x:v>M02 Scratch 創意遊戲與計算思維</x:v>
      </x:c>
      <x:c r="D25" s="40" t="n">
        <x:v>8</x:v>
      </x:c>
      <x:c r="E25" s="40" t="str">
        <x:v>分身軍團</x:v>
      </x:c>
      <x:c r="F25" s="40" t="str">
        <x:v>計算思維／視覺化程式／遊戲設計</x:v>
      </x:c>
      <x:c r="G25" s="40" t="str">
        <x:v>用 clone 建立大量相似物件</x:v>
      </x:c>
      <x:c r="H25" s="40" t="str">
        <x:v>00–10 任務開場：分身軍團
10–25 概念示範：用 clone 建立大量相似物件
25–65 父子共同實作：做下雨、星星或敵人生成器，控制數量與速度
65–75 休息／走動／聊天
75–105 孩子獨立改造：增加一個自選規則或功能
105–115 角色互換：孩子教爸爸操作與原理
115–120 錄音總結、作品命名、版本存檔</x:v>
      </x:c>
      <x:c r="I25" s="40" t="str">
        <x:v>做下雨、星星或敵人生成器，控制數量與速度</x:v>
      </x:c>
      <x:c r="J25" s="40" t="str">
        <x:v>玩家測試</x:v>
      </x:c>
      <x:c r="K25" s="40" t="str">
        <x:v>分身特效場景</x:v>
      </x:c>
      <x:c r="L25" s="40" t="str">
        <x:v>創意與耐挫</x:v>
      </x:c>
      <x:c r="M25" s="40" t="str">
        <x:v>登入 Scratch；先試跑範例積木；準備紙筆與可選素材。</x:v>
      </x:c>
      <x:c r="N25" s="40" t="str">
        <x:v>15–30 分鐘自由改造；寫三句學習日誌：我做了什麼、哪裡卡住、下次想加什麼。</x:v>
      </x:c>
      <x:c r="O25" s="40" t="str">
        <x:v>完成「分身特效場景」；能不用看稿說出核心原理；能指出至少一個錯誤、限制或安全注意事項。</x:v>
      </x:c>
      <x:c r="P25" s="40" t="str">
        <x:v>R02</x:v>
      </x:c>
      <x:c r="Q25" s="40" t="str">
        <x:v>https://scratch.mit.edu/</x:v>
      </x:c>
      <x:c r="R25" s="40" t="str">
        <x:v>請孩子回答：1. 分身軍團在解決什麼？2. 我怎麼做？3. 哪裡容易錯？4. 生活中哪裡會用到？</x:v>
      </x:c>
      <x:c r="S25" s="40" t="str">
        <x:v>父子科技課 #024｜分身軍團</x:v>
      </x:c>
      <x:c r="T25" s="40" t="n">
        <x:v>1</x:v>
      </x:c>
      <x:c r="U25" s="38" t="str">
        <x:v>分身軍團 Scratch coding game animation beginner tutorial Scratch</x:v>
      </x:c>
      <x:c r="V25" s="38" t="str">
        <x:v>https://www.youtube.com/results?search_query=%E5%88%86%E8%BA%AB%E8%BB%8D%E5%9C%98+Scratch+coding+game+animation+beginner+tutorial+Scratch</x:v>
      </x:c>
      <x:c r="W25" s="38" t="str">
        <x:v>課前暖身</x:v>
      </x:c>
      <x:c r="X25" s="38" t="str">
        <x:v>分身軍團 用 clone 建立大量相似物件 hands on project for kids Scratch coding game animation</x:v>
      </x:c>
      <x:c r="Y25" s="38" t="str">
        <x:v>https://www.youtube.com/results?search_query=%E5%88%86%E8%BA%AB%E8%BB%8D%E5%9C%98+%E7%94%A8+clone+%E5%BB%BA%E7%AB%8B%E5%A4%A7%E9%87%8F%E7%9B%B8%E4%BC%BC%E7%89%A9%E4%BB%B6+hands+on+project+for+kids+Scratch+coding+game+animation</x:v>
      </x:c>
      <x:c r="Z25" s="38" t="str">
        <x:v>課中實作參考</x:v>
      </x:c>
      <x:c r="AA25" s="38" t="str">
        <x:v>分身軍團 中文 教學 原理 安全 親子 Scratch coding game animation</x:v>
      </x:c>
      <x:c r="AB25" s="38" t="str">
        <x:v>https://www.youtube.com/results?search_query=%E5%88%86%E8%BA%AB%E8%BB%8D%E5%9C%98+%E4%B8%AD%E6%96%87+%E6%95%99%E5%AD%B8+%E5%8E%9F%E7%90%86+%E5%AE%89%E5%85%A8+%E8%A6%AA%E5%AD%90+Scratch+coding+game+animation</x:v>
      </x:c>
      <x:c r="AC25" s="38" t="str">
        <x:v>課後延伸／親子討論</x:v>
      </x:c>
    </x:row>
    <x:row r="26" ht="105" customHeight="1">
      <x:c r="A26" s="40" t="n">
        <x:v>25</x:v>
      </x:c>
      <x:c r="B26" s="40" t="str">
        <x:v>第 1 年</x:v>
      </x:c>
      <x:c r="C26" s="40" t="str">
        <x:v>M02 Scratch 創意遊戲與計算思維</x:v>
      </x:c>
      <x:c r="D26" s="40" t="n">
        <x:v>9</x:v>
      </x:c>
      <x:c r="E26" s="40" t="str">
        <x:v>座標、方向與碰撞</x:v>
      </x:c>
      <x:c r="F26" s="40" t="str">
        <x:v>計算思維／視覺化程式／遊戲設計</x:v>
      </x:c>
      <x:c r="G26" s="40" t="str">
        <x:v>用 x/y、方向與 touching 建立移動規則</x:v>
      </x:c>
      <x:c r="H26" s="40" t="str">
        <x:v>00–10 任務開場：座標、方向與碰撞
10–25 概念示範：用 x/y、方向與 touching 建立移動規則
25–65 父子共同實作：製作足球射門或太空船閃避關卡
65–75 休息／走動／聊天
75–105 孩子獨立改造：增加一個自選規則或功能
105–115 角色互換：孩子教爸爸操作與原理
115–120 錄音總結、作品命名、版本存檔</x:v>
      </x:c>
      <x:c r="I26" s="40" t="str">
        <x:v>製作足球射門或太空船閃避關卡</x:v>
      </x:c>
      <x:c r="J26" s="40" t="str">
        <x:v>闖關</x:v>
      </x:c>
      <x:c r="K26" s="40" t="str">
        <x:v>碰撞挑戰關</x:v>
      </x:c>
      <x:c r="L26" s="40" t="str">
        <x:v>創意與耐挫</x:v>
      </x:c>
      <x:c r="M26" s="40" t="str">
        <x:v>登入 Scratch；先試跑範例積木；準備紙筆與可選素材。</x:v>
      </x:c>
      <x:c r="N26" s="40" t="str">
        <x:v>15–30 分鐘自由改造；寫三句學習日誌：我做了什麼、哪裡卡住、下次想加什麼。</x:v>
      </x:c>
      <x:c r="O26" s="40" t="str">
        <x:v>完成「碰撞挑戰關」；能不用看稿說出核心原理；能指出至少一個錯誤、限制或安全注意事項。</x:v>
      </x:c>
      <x:c r="P26" s="40" t="str">
        <x:v>R02</x:v>
      </x:c>
      <x:c r="Q26" s="40" t="str">
        <x:v>https://scratch.mit.edu/</x:v>
      </x:c>
      <x:c r="R26" s="40" t="str">
        <x:v>請孩子回答：1. 座標、方向與碰撞在解決什麼？2. 我怎麼做？3. 哪裡容易錯？4. 生活中哪裡會用到？</x:v>
      </x:c>
      <x:c r="S26" s="40" t="str">
        <x:v>父子科技課 #025｜座標、方向與碰撞</x:v>
      </x:c>
      <x:c r="T26" s="40" t="n">
        <x:v>2</x:v>
      </x:c>
      <x:c r="U26" s="38" t="str">
        <x:v>座標、方向與碰撞 Scratch coding game animation beginner tutorial Scratch</x:v>
      </x:c>
      <x:c r="V26" s="38" t="str">
        <x:v>https://www.youtube.com/results?search_query=%E5%BA%A7%E6%A8%99%E3%80%81%E6%96%B9%E5%90%91%E8%88%87%E7%A2%B0%E6%92%9E+Scratch+coding+game+animation+beginner+tutorial+Scratch</x:v>
      </x:c>
      <x:c r="W26" s="38" t="str">
        <x:v>課前暖身</x:v>
      </x:c>
      <x:c r="X26" s="38" t="str">
        <x:v>座標、方向與碰撞 用 x/y、方向與 touching 建立移動規則 hands on project for kids Scratch coding game animation</x:v>
      </x:c>
      <x:c r="Y26" s="38" t="str">
        <x:v>https://www.youtube.com/results?search_query=%E5%BA%A7%E6%A8%99%E3%80%81%E6%96%B9%E5%90%91%E8%88%87%E7%A2%B0%E6%92%9E+%E7%94%A8+x%2Fy%E3%80%81%E6%96%B9%E5%90%91%E8%88%87+touching+%E5%BB%BA%E7%AB%8B%E7%A7%BB%E5%8B%95%E8%A6%8F%E5%89%87+hands+on+project+for+kids+Scratch+coding+game+animation</x:v>
      </x:c>
      <x:c r="Z26" s="38" t="str">
        <x:v>課中實作參考</x:v>
      </x:c>
      <x:c r="AA26" s="38" t="str">
        <x:v>座標、方向與碰撞 中文 教學 原理 安全 親子 Scratch coding game animation</x:v>
      </x:c>
      <x:c r="AB26" s="38" t="str">
        <x:v>https://www.youtube.com/results?search_query=%E5%BA%A7%E6%A8%99%E3%80%81%E6%96%B9%E5%90%91%E8%88%87%E7%A2%B0%E6%92%9E+%E4%B8%AD%E6%96%87+%E6%95%99%E5%AD%B8+%E5%8E%9F%E7%90%86+%E5%AE%89%E5%85%A8+%E8%A6%AA%E5%AD%90+Scratch+coding+game+animation</x:v>
      </x:c>
      <x:c r="AC26" s="38" t="str">
        <x:v>課後延伸／親子討論</x:v>
      </x:c>
    </x:row>
    <x:row r="27" ht="105" customHeight="1">
      <x:c r="A27" s="40" t="n">
        <x:v>26</x:v>
      </x:c>
      <x:c r="B27" s="40" t="str">
        <x:v>第 1 年</x:v>
      </x:c>
      <x:c r="C27" s="40" t="str">
        <x:v>M02 Scratch 創意遊戲與計算思維</x:v>
      </x:c>
      <x:c r="D27" s="40" t="n">
        <x:v>10</x:v>
      </x:c>
      <x:c r="E27" s="40" t="str">
        <x:v>音效與節奏：用程式作曲</x:v>
      </x:c>
      <x:c r="F27" s="40" t="str">
        <x:v>計算思維／視覺化程式／遊戲設計</x:v>
      </x:c>
      <x:c r="G27" s="40" t="str">
        <x:v>理解時間、節拍、音高與同步</x:v>
      </x:c>
      <x:c r="H27" s="40" t="str">
        <x:v>00–10 任務開場：音效與節奏：用程式作曲
10–25 概念示範：理解時間、節拍、音高與同步
25–65 父子共同實作：用迴圈與廣播完成父子雙聲部節奏
65–75 休息／走動／聊天
75–105 孩子獨立改造：增加一個自選規則或功能
105–115 角色互換：孩子教爸爸操作與原理
115–120 錄音總結、作品命名、版本存檔</x:v>
      </x:c>
      <x:c r="I27" s="40" t="str">
        <x:v>用迴圈與廣播完成父子雙聲部節奏</x:v>
      </x:c>
      <x:c r="J27" s="40" t="str">
        <x:v>Boss 戰</x:v>
      </x:c>
      <x:c r="K27" s="40" t="str">
        <x:v>30 秒程式音樂</x:v>
      </x:c>
      <x:c r="L27" s="40" t="str">
        <x:v>創意與耐挫</x:v>
      </x:c>
      <x:c r="M27" s="40" t="str">
        <x:v>登入 Scratch；先試跑範例積木；準備紙筆與可選素材。</x:v>
      </x:c>
      <x:c r="N27" s="40" t="str">
        <x:v>15–30 分鐘自由改造；寫三句學習日誌：我做了什麼、哪裡卡住、下次想加什麼。</x:v>
      </x:c>
      <x:c r="O27" s="40" t="str">
        <x:v>完成「30 秒程式音樂」；能不用看稿說出核心原理；能指出至少一個錯誤、限制或安全注意事項。</x:v>
      </x:c>
      <x:c r="P27" s="40" t="str">
        <x:v>R02</x:v>
      </x:c>
      <x:c r="Q27" s="40" t="str">
        <x:v>https://scratch.mit.edu/</x:v>
      </x:c>
      <x:c r="R27" s="40" t="str">
        <x:v>請孩子回答：1. 音效與節奏：用程式作曲在解決什麼？2. 我怎麼做？3. 哪裡容易錯？4. 生活中哪裡會用到？</x:v>
      </x:c>
      <x:c r="S27" s="40" t="str">
        <x:v>父子科技課 #026｜音效與節奏：用程式作曲</x:v>
      </x:c>
      <x:c r="T27" s="40" t="n">
        <x:v>2</x:v>
      </x:c>
      <x:c r="U27" s="38" t="str">
        <x:v>音效與節奏 用程式作曲 Scratch coding game animation beginner tutorial Scratch</x:v>
      </x:c>
      <x:c r="V27" s="38" t="str">
        <x:v>https://www.youtube.com/results?search_query=%E9%9F%B3%E6%95%88%E8%88%87%E7%AF%80%E5%A5%8F+%E7%94%A8%E7%A8%8B%E5%BC%8F%E4%BD%9C%E6%9B%B2+Scratch+coding+game+animation+beginner+tutorial+Scratch</x:v>
      </x:c>
      <x:c r="W27" s="38" t="str">
        <x:v>課前暖身</x:v>
      </x:c>
      <x:c r="X27" s="38" t="str">
        <x:v>音效與節奏 用程式作曲 理解時間、節拍、音高與同步 hands on project for kids Scratch coding game animation</x:v>
      </x:c>
      <x:c r="Y27" s="38" t="str">
        <x:v>https://www.youtube.com/results?search_query=%E9%9F%B3%E6%95%88%E8%88%87%E7%AF%80%E5%A5%8F+%E7%94%A8%E7%A8%8B%E5%BC%8F%E4%BD%9C%E6%9B%B2+%E7%90%86%E8%A7%A3%E6%99%82%E9%96%93%E3%80%81%E7%AF%80%E6%8B%8D%E3%80%81%E9%9F%B3%E9%AB%98%E8%88%87%E5%90%8C%E6%AD%A5+hands+on+project+for+kids+Scratch+coding+game+animation</x:v>
      </x:c>
      <x:c r="Z27" s="38" t="str">
        <x:v>課中實作參考</x:v>
      </x:c>
      <x:c r="AA27" s="38" t="str">
        <x:v>音效與節奏 用程式作曲 中文 教學 原理 安全 親子 Scratch coding game animation</x:v>
      </x:c>
      <x:c r="AB27" s="38" t="str">
        <x:v>https://www.youtube.com/results?search_query=%E9%9F%B3%E6%95%88%E8%88%87%E7%AF%80%E5%A5%8F+%E7%94%A8%E7%A8%8B%E5%BC%8F%E4%BD%9C%E6%9B%B2+%E4%B8%AD%E6%96%87+%E6%95%99%E5%AD%B8+%E5%8E%9F%E7%90%86+%E5%AE%89%E5%85%A8+%E8%A6%AA%E5%AD%90+Scratch+coding+game+animation</x:v>
      </x:c>
      <x:c r="AC27" s="38" t="str">
        <x:v>課後延伸／親子討論</x:v>
      </x:c>
    </x:row>
    <x:row r="28" ht="105" customHeight="1">
      <x:c r="A28" s="40" t="n">
        <x:v>27</x:v>
      </x:c>
      <x:c r="B28" s="40" t="str">
        <x:v>第 1 年</x:v>
      </x:c>
      <x:c r="C28" s="40" t="str">
        <x:v>M02 Scratch 創意遊戲與計算思維</x:v>
      </x:c>
      <x:c r="D28" s="40" t="n">
        <x:v>11</x:v>
      </x:c>
      <x:c r="E28" s="40" t="str">
        <x:v>互動故事與分鏡</x:v>
      </x:c>
      <x:c r="F28" s="40" t="str">
        <x:v>計算思維／視覺化程式／遊戲設計</x:v>
      </x:c>
      <x:c r="G28" s="40" t="str">
        <x:v>把故事拆成場景、角色、事件與選擇</x:v>
      </x:c>
      <x:c r="H28" s="40" t="str">
        <x:v>00–10 任務開場：互動故事與分鏡
10–25 概念示範：把故事拆成場景、角色、事件與選擇
25–65 父子共同實作：畫六格分鏡，再做一個有兩種結局的故事
65–75 休息／走動／聊天
75–105 孩子獨立改造：增加一個自選規則或功能
105–115 角色互換：孩子教爸爸操作與原理
115–120 錄音總結、作品命名、版本存檔</x:v>
      </x:c>
      <x:c r="I28" s="40" t="str">
        <x:v>畫六格分鏡，再做一個有兩種結局的故事</x:v>
      </x:c>
      <x:c r="J28" s="40" t="str">
        <x:v>交換作品</x:v>
      </x:c>
      <x:c r="K28" s="40" t="str">
        <x:v>互動故事原型</x:v>
      </x:c>
      <x:c r="L28" s="40" t="str">
        <x:v>創意與設計</x:v>
      </x:c>
      <x:c r="M28" s="40" t="str">
        <x:v>登入 Scratch；先試跑範例積木；準備紙筆與可選素材。</x:v>
      </x:c>
      <x:c r="N28" s="40" t="str">
        <x:v>15–30 分鐘自由改造；寫三句學習日誌：我做了什麼、哪裡卡住、下次想加什麼。</x:v>
      </x:c>
      <x:c r="O28" s="40" t="str">
        <x:v>完成「互動故事原型」；能不用看稿說出核心原理；能指出至少一個錯誤、限制或安全注意事項。</x:v>
      </x:c>
      <x:c r="P28" s="40" t="str">
        <x:v>R03</x:v>
      </x:c>
      <x:c r="Q28" s="40" t="str">
        <x:v>https://scratch.mit.edu/educators/</x:v>
      </x:c>
      <x:c r="R28" s="40" t="str">
        <x:v>請孩子回答：1. 互動故事與分鏡在解決什麼？2. 我怎麼做？3. 哪裡容易錯？4. 生活中哪裡會用到？</x:v>
      </x:c>
      <x:c r="S28" s="40" t="str">
        <x:v>父子科技課 #027｜互動故事與分鏡</x:v>
      </x:c>
      <x:c r="T28" s="40" t="n">
        <x:v>2</x:v>
      </x:c>
      <x:c r="U28" s="38" t="str">
        <x:v>互動故事與分鏡 Scratch coding game animation beginner tutorial Scratch</x:v>
      </x:c>
      <x:c r="V28" s="38" t="str">
        <x:v>https://www.youtube.com/results?search_query=%E4%BA%92%E5%8B%95%E6%95%85%E4%BA%8B%E8%88%87%E5%88%86%E9%8F%A1+Scratch+coding+game+animation+beginner+tutorial+Scratch</x:v>
      </x:c>
      <x:c r="W28" s="38" t="str">
        <x:v>課前暖身</x:v>
      </x:c>
      <x:c r="X28" s="38" t="str">
        <x:v>互動故事與分鏡 把故事拆成場景、角色、事件與選擇 hands on project for kids Scratch coding game animation</x:v>
      </x:c>
      <x:c r="Y28" s="38" t="str">
        <x:v>https://www.youtube.com/results?search_query=%E4%BA%92%E5%8B%95%E6%95%85%E4%BA%8B%E8%88%87%E5%88%86%E9%8F%A1+%E6%8A%8A%E6%95%85%E4%BA%8B%E6%8B%86%E6%88%90%E5%A0%B4%E6%99%AF%E3%80%81%E8%A7%92%E8%89%B2%E3%80%81%E4%BA%8B%E4%BB%B6%E8%88%87%E9%81%B8%E6%93%87+hands+on+project+for+kids+Scratch+coding+game+animation</x:v>
      </x:c>
      <x:c r="Z28" s="38" t="str">
        <x:v>課中實作參考</x:v>
      </x:c>
      <x:c r="AA28" s="38" t="str">
        <x:v>互動故事與分鏡 中文 教學 原理 安全 親子 Scratch coding game animation</x:v>
      </x:c>
      <x:c r="AB28" s="38" t="str">
        <x:v>https://www.youtube.com/results?search_query=%E4%BA%92%E5%8B%95%E6%95%85%E4%BA%8B%E8%88%87%E5%88%86%E9%8F%A1+%E4%B8%AD%E6%96%87+%E6%95%99%E5%AD%B8+%E5%8E%9F%E7%90%86+%E5%AE%89%E5%85%A8+%E8%A6%AA%E5%AD%90+Scratch+coding+game+animation</x:v>
      </x:c>
      <x:c r="AC28" s="38" t="str">
        <x:v>課後延伸／親子討論</x:v>
      </x:c>
    </x:row>
    <x:row r="29" ht="105" customHeight="1">
      <x:c r="A29" s="40" t="n">
        <x:v>28</x:v>
      </x:c>
      <x:c r="B29" s="40" t="str">
        <x:v>第 1 年</x:v>
      </x:c>
      <x:c r="C29" s="40" t="str">
        <x:v>M02 Scratch 創意遊戲與計算思維</x:v>
      </x:c>
      <x:c r="D29" s="40" t="n">
        <x:v>12</x:v>
      </x:c>
      <x:c r="E29" s="40" t="str">
        <x:v>除錯偵探：找出五隻 Bug</x:v>
      </x:c>
      <x:c r="F29" s="40" t="str">
        <x:v>計算思維／視覺化程式／遊戲設計</x:v>
      </x:c>
      <x:c r="G29" s="40" t="str">
        <x:v>練習重現、觀察、假設、修改與回歸測試</x:v>
      </x:c>
      <x:c r="H29" s="40" t="str">
        <x:v>00–10 任務開場：除錯偵探：找出五隻 Bug
10–25 概念示範：練習重現、觀察、假設、修改與回歸測試
25–65 父子共同實作：交換含 Bug 的專案，以『一次只改一件事』找錯
65–75 休息／走動／聊天
75–105 孩子獨立改造：增加一個自選規則或功能
105–115 角色互換：孩子教爸爸操作與原理
115–120 錄音總結、作品命名、版本存檔</x:v>
      </x:c>
      <x:c r="I29" s="40" t="str">
        <x:v>交換含 Bug 的專案，以『一次只改一件事』找錯</x:v>
      </x:c>
      <x:c r="J29" s="40" t="str">
        <x:v>玩家測試</x:v>
      </x:c>
      <x:c r="K29" s="40" t="str">
        <x:v>Bug 報告卡</x:v>
      </x:c>
      <x:c r="L29" s="40" t="str">
        <x:v>問題拆解</x:v>
      </x:c>
      <x:c r="M29" s="40" t="str">
        <x:v>登入 Scratch；先試跑範例積木；準備紙筆與可選素材。</x:v>
      </x:c>
      <x:c r="N29" s="40" t="str">
        <x:v>15–30 分鐘自由改造；寫三句學習日誌：我做了什麼、哪裡卡住、下次想加什麼。</x:v>
      </x:c>
      <x:c r="O29" s="40" t="str">
        <x:v>完成「Bug 報告卡」；能不用看稿說出核心原理；能指出至少一個錯誤、限制或安全注意事項。</x:v>
      </x:c>
      <x:c r="P29" s="40" t="str">
        <x:v>R03</x:v>
      </x:c>
      <x:c r="Q29" s="40" t="str">
        <x:v>https://scratch.mit.edu/educators/</x:v>
      </x:c>
      <x:c r="R29" s="40" t="str">
        <x:v>請孩子回答：1. 除錯偵探：找出五隻 Bug在解決什麼？2. 我怎麼做？3. 哪裡容易錯？4. 生活中哪裡會用到？</x:v>
      </x:c>
      <x:c r="S29" s="40" t="str">
        <x:v>父子科技課 #028｜除錯偵探：找出五隻 Bug</x:v>
      </x:c>
      <x:c r="T29" s="40" t="n">
        <x:v>2</x:v>
      </x:c>
      <x:c r="U29" s="38" t="str">
        <x:v>除錯偵探 找出五隻 Bug Scratch coding game animation beginner tutorial Scratch</x:v>
      </x:c>
      <x:c r="V29" s="38" t="str">
        <x:v>https://www.youtube.com/results?search_query=%E9%99%A4%E9%8C%AF%E5%81%B5%E6%8E%A2+%E6%89%BE%E5%87%BA%E4%BA%94%E9%9A%BB+Bug+Scratch+coding+game+animation+beginner+tutorial+Scratch</x:v>
      </x:c>
      <x:c r="W29" s="38" t="str">
        <x:v>課前暖身</x:v>
      </x:c>
      <x:c r="X29" s="38" t="str">
        <x:v>除錯偵探 找出五隻 Bug 練習重現、觀察、假設、修改與回歸測試 hands on project for kids Scratch coding game animation</x:v>
      </x:c>
      <x:c r="Y29" s="38" t="str">
        <x:v>https://www.youtube.com/results?search_query=%E9%99%A4%E9%8C%AF%E5%81%B5%E6%8E%A2+%E6%89%BE%E5%87%BA%E4%BA%94%E9%9A%BB+Bug+%E7%B7%B4%E7%BF%92%E9%87%8D%E7%8F%BE%E3%80%81%E8%A7%80%E5%AF%9F%E3%80%81%E5%81%87%E8%A8%AD%E3%80%81%E4%BF%AE%E6%94%B9%E8%88%87%E5%9B%9E%E6%AD%B8%E6%B8%AC%E8%A9%A6+hands+on+project+for+kids+Scratch+coding+game+animation</x:v>
      </x:c>
      <x:c r="Z29" s="38" t="str">
        <x:v>課中實作參考</x:v>
      </x:c>
      <x:c r="AA29" s="38" t="str">
        <x:v>除錯偵探 找出五隻 Bug 中文 教學 原理 安全 親子 Scratch coding game animation</x:v>
      </x:c>
      <x:c r="AB29" s="38" t="str">
        <x:v>https://www.youtube.com/results?search_query=%E9%99%A4%E9%8C%AF%E5%81%B5%E6%8E%A2+%E6%89%BE%E5%87%BA%E4%BA%94%E9%9A%BB+Bug+%E4%B8%AD%E6%96%87+%E6%95%99%E5%AD%B8+%E5%8E%9F%E7%90%86+%E5%AE%89%E5%85%A8+%E8%A6%AA%E5%AD%90+Scratch+coding+game+animation</x:v>
      </x:c>
      <x:c r="AC29" s="38" t="str">
        <x:v>課後延伸／親子討論</x:v>
      </x:c>
    </x:row>
    <x:row r="30" ht="105" customHeight="1">
      <x:c r="A30" s="40" t="n">
        <x:v>29</x:v>
      </x:c>
      <x:c r="B30" s="40" t="str">
        <x:v>第 1 年</x:v>
      </x:c>
      <x:c r="C30" s="40" t="str">
        <x:v>M02 Scratch 創意遊戲與計算思維</x:v>
      </x:c>
      <x:c r="D30" s="40" t="n">
        <x:v>13</x:v>
      </x:c>
      <x:c r="E30" s="40" t="str">
        <x:v>遊戲設計：先用紙玩</x:v>
      </x:c>
      <x:c r="F30" s="40" t="str">
        <x:v>計算思維／視覺化程式／遊戲設計</x:v>
      </x:c>
      <x:c r="G30" s="40" t="str">
        <x:v>理解目標、規則、回饋、難度與失敗條件</x:v>
      </x:c>
      <x:c r="H30" s="40" t="str">
        <x:v>00–10 任務開場：遊戲設計：先用紙玩
10–25 概念示範：理解目標、規則、回饋、難度與失敗條件
25–65 父子共同實作：用便利貼設計桌遊版，爸爸先當玩家測試
65–75 休息／走動／聊天
75–105 孩子獨立改造：增加一個自選規則或功能
105–115 角色互換：孩子教爸爸操作與原理
115–120 錄音總結、作品命名、版本存檔</x:v>
      </x:c>
      <x:c r="I30" s="40" t="str">
        <x:v>用便利貼設計桌遊版，爸爸先當玩家測試</x:v>
      </x:c>
      <x:c r="J30" s="40" t="str">
        <x:v>闖關</x:v>
      </x:c>
      <x:c r="K30" s="40" t="str">
        <x:v>紙上遊戲原型</x:v>
      </x:c>
      <x:c r="L30" s="40" t="str">
        <x:v>創意與設計</x:v>
      </x:c>
      <x:c r="M30" s="40" t="str">
        <x:v>登入 Scratch；先試跑範例積木；準備紙筆與可選素材。</x:v>
      </x:c>
      <x:c r="N30" s="40" t="str">
        <x:v>15–30 分鐘自由改造；寫三句學習日誌：我做了什麼、哪裡卡住、下次想加什麼。</x:v>
      </x:c>
      <x:c r="O30" s="40" t="str">
        <x:v>完成「紙上遊戲原型」；能不用看稿說出核心原理；能指出至少一個錯誤、限制或安全注意事項。</x:v>
      </x:c>
      <x:c r="P30" s="40" t="str">
        <x:v>R03</x:v>
      </x:c>
      <x:c r="Q30" s="40" t="str">
        <x:v>https://scratch.mit.edu/educators/</x:v>
      </x:c>
      <x:c r="R30" s="40" t="str">
        <x:v>請孩子回答：1. 遊戲設計：先用紙玩在解決什麼？2. 我怎麼做？3. 哪裡容易錯？4. 生活中哪裡會用到？</x:v>
      </x:c>
      <x:c r="S30" s="40" t="str">
        <x:v>父子科技課 #029｜遊戲設計：先用紙玩</x:v>
      </x:c>
      <x:c r="T30" s="40" t="n">
        <x:v>2</x:v>
      </x:c>
      <x:c r="U30" s="38" t="str">
        <x:v>遊戲設計 先用紙玩 Scratch coding game animation beginner tutorial Scratch</x:v>
      </x:c>
      <x:c r="V30" s="38" t="str">
        <x:v>https://www.youtube.com/results?search_query=%E9%81%8A%E6%88%B2%E8%A8%AD%E8%A8%88+%E5%85%88%E7%94%A8%E7%B4%99%E7%8E%A9+Scratch+coding+game+animation+beginner+tutorial+Scratch</x:v>
      </x:c>
      <x:c r="W30" s="38" t="str">
        <x:v>課前暖身</x:v>
      </x:c>
      <x:c r="X30" s="38" t="str">
        <x:v>遊戲設計 先用紙玩 理解目標、規則、回饋、難度與失敗條件 hands on project for kids Scratch coding game animation</x:v>
      </x:c>
      <x:c r="Y30" s="38" t="str">
        <x:v>https://www.youtube.com/results?search_query=%E9%81%8A%E6%88%B2%E8%A8%AD%E8%A8%88+%E5%85%88%E7%94%A8%E7%B4%99%E7%8E%A9+%E7%90%86%E8%A7%A3%E7%9B%AE%E6%A8%99%E3%80%81%E8%A6%8F%E5%89%87%E3%80%81%E5%9B%9E%E9%A5%8B%E3%80%81%E9%9B%A3%E5%BA%A6%E8%88%87%E5%A4%B1%E6%95%97%E6%A2%9D%E4%BB%B6+hands+on+project+for+kids+Scratch+coding+game+animation</x:v>
      </x:c>
      <x:c r="Z30" s="38" t="str">
        <x:v>課中實作參考</x:v>
      </x:c>
      <x:c r="AA30" s="38" t="str">
        <x:v>遊戲設計 先用紙玩 中文 教學 原理 安全 親子 Scratch coding game animation</x:v>
      </x:c>
      <x:c r="AB30" s="38" t="str">
        <x:v>https://www.youtube.com/results?search_query=%E9%81%8A%E6%88%B2%E8%A8%AD%E8%A8%88+%E5%85%88%E7%94%A8%E7%B4%99%E7%8E%A9+%E4%B8%AD%E6%96%87+%E6%95%99%E5%AD%B8+%E5%8E%9F%E7%90%86+%E5%AE%89%E5%85%A8+%E8%A6%AA%E5%AD%90+Scratch+coding+game+animation</x:v>
      </x:c>
      <x:c r="AC30" s="38" t="str">
        <x:v>課後延伸／親子討論</x:v>
      </x:c>
    </x:row>
    <x:row r="31" ht="105" customHeight="1">
      <x:c r="A31" s="40" t="n">
        <x:v>30</x:v>
      </x:c>
      <x:c r="B31" s="40" t="str">
        <x:v>第 1 年</x:v>
      </x:c>
      <x:c r="C31" s="40" t="str">
        <x:v>M02 Scratch 創意遊戲與計算思維</x:v>
      </x:c>
      <x:c r="D31" s="40" t="n">
        <x:v>14</x:v>
      </x:c>
      <x:c r="E31" s="40" t="str">
        <x:v>原創遊戲 Alpha：核心玩法</x:v>
      </x:c>
      <x:c r="F31" s="40" t="str">
        <x:v>計算思維／視覺化程式／遊戲設計</x:v>
      </x:c>
      <x:c r="G31" s="40" t="str">
        <x:v>把紙上原型轉成最小可玩版本</x:v>
      </x:c>
      <x:c r="H31" s="40" t="str">
        <x:v>00–10 任務開場：原創遊戲 Alpha：核心玩法
10–25 概念示範：把紙上原型轉成最小可玩版本
25–65 父子共同實作：只完成一個關卡、一種敵人、一個明確目標
65–75 休息／走動／聊天
75–105 孩子獨立改造：增加一個自選規則或功能
105–115 角色互換：孩子教爸爸操作與原理
115–120 錄音總結、作品命名、版本存檔</x:v>
      </x:c>
      <x:c r="I31" s="40" t="str">
        <x:v>只完成一個關卡、一種敵人、一個明確目標</x:v>
      </x:c>
      <x:c r="J31" s="40" t="str">
        <x:v>Boss 戰</x:v>
      </x:c>
      <x:c r="K31" s="40" t="str">
        <x:v>Alpha 版本</x:v>
      </x:c>
      <x:c r="L31" s="40" t="str">
        <x:v>創意與設計</x:v>
      </x:c>
      <x:c r="M31" s="40" t="str">
        <x:v>登入 Scratch；先試跑範例積木；準備紙筆與可選素材。</x:v>
      </x:c>
      <x:c r="N31" s="40" t="str">
        <x:v>15–30 分鐘自由改造；寫三句學習日誌：我做了什麼、哪裡卡住、下次想加什麼。</x:v>
      </x:c>
      <x:c r="O31" s="40" t="str">
        <x:v>完成「Alpha 版本」；能不用看稿說出核心原理；能指出至少一個錯誤、限制或安全注意事項。</x:v>
      </x:c>
      <x:c r="P31" s="40" t="str">
        <x:v>R02</x:v>
      </x:c>
      <x:c r="Q31" s="40" t="str">
        <x:v>https://scratch.mit.edu/</x:v>
      </x:c>
      <x:c r="R31" s="40" t="str">
        <x:v>請孩子回答：1. 原創遊戲 Alpha：核心玩法在解決什麼？2. 我怎麼做？3. 哪裡容易錯？4. 生活中哪裡會用到？</x:v>
      </x:c>
      <x:c r="S31" s="40" t="str">
        <x:v>父子科技課 #030｜原創遊戲 Alpha：核心玩法</x:v>
      </x:c>
      <x:c r="T31" s="40" t="n">
        <x:v>2</x:v>
      </x:c>
      <x:c r="U31" s="38" t="str">
        <x:v>原創遊戲 Alpha 核心玩法 Scratch coding game animation beginner tutorial Scratch</x:v>
      </x:c>
      <x:c r="V31" s="38" t="str">
        <x:v>https://www.youtube.com/results?search_query=%E5%8E%9F%E5%89%B5%E9%81%8A%E6%88%B2+Alpha+%E6%A0%B8%E5%BF%83%E7%8E%A9%E6%B3%95+Scratch+coding+game+animation+beginner+tutorial+Scratch</x:v>
      </x:c>
      <x:c r="W31" s="38" t="str">
        <x:v>課前暖身</x:v>
      </x:c>
      <x:c r="X31" s="38" t="str">
        <x:v>原創遊戲 Alpha 核心玩法 把紙上原型轉成最小可玩版本 hands on project for kids Scratch coding game animation</x:v>
      </x:c>
      <x:c r="Y31" s="38" t="str">
        <x:v>https://www.youtube.com/results?search_query=%E5%8E%9F%E5%89%B5%E9%81%8A%E6%88%B2+Alpha+%E6%A0%B8%E5%BF%83%E7%8E%A9%E6%B3%95+%E6%8A%8A%E7%B4%99%E4%B8%8A%E5%8E%9F%E5%9E%8B%E8%BD%89%E6%88%90%E6%9C%80%E5%B0%8F%E5%8F%AF%E7%8E%A9%E7%89%88%E6%9C%AC+hands+on+project+for+kids+Scratch+coding+game+animation</x:v>
      </x:c>
      <x:c r="Z31" s="38" t="str">
        <x:v>課中實作參考</x:v>
      </x:c>
      <x:c r="AA31" s="38" t="str">
        <x:v>原創遊戲 Alpha 核心玩法 中文 教學 原理 安全 親子 Scratch coding game animation</x:v>
      </x:c>
      <x:c r="AB31" s="38" t="str">
        <x:v>https://www.youtube.com/results?search_query=%E5%8E%9F%E5%89%B5%E9%81%8A%E6%88%B2+Alpha+%E6%A0%B8%E5%BF%83%E7%8E%A9%E6%B3%95+%E4%B8%AD%E6%96%87+%E6%95%99%E5%AD%B8+%E5%8E%9F%E7%90%86+%E5%AE%89%E5%85%A8+%E8%A6%AA%E5%AD%90+Scratch+coding+game+animation</x:v>
      </x:c>
      <x:c r="AC31" s="38" t="str">
        <x:v>課後延伸／親子討論</x:v>
      </x:c>
    </x:row>
    <x:row r="32" ht="105" customHeight="1">
      <x:c r="A32" s="40" t="n">
        <x:v>31</x:v>
      </x:c>
      <x:c r="B32" s="40" t="str">
        <x:v>第 1 年</x:v>
      </x:c>
      <x:c r="C32" s="40" t="str">
        <x:v>M02 Scratch 創意遊戲與計算思維</x:v>
      </x:c>
      <x:c r="D32" s="40" t="n">
        <x:v>15</x:v>
      </x:c>
      <x:c r="E32" s="40" t="str">
        <x:v>玩家測試與改版</x:v>
      </x:c>
      <x:c r="F32" s="40" t="str">
        <x:v>計算思維／視覺化程式／遊戲設計</x:v>
      </x:c>
      <x:c r="G32" s="40" t="str">
        <x:v>從觀察而非辯解中取得使用者回饋</x:v>
      </x:c>
      <x:c r="H32" s="40" t="str">
        <x:v>00–10 任務開場：玩家測試與改版
10–25 概念示範：從觀察而非辯解中取得使用者回饋
25–65 父子共同實作：請家人試玩，不提示操作，記錄卡住與好笑時刻
65–75 休息／走動／聊天
75–105 孩子獨立改造：增加一個自選規則或功能
105–115 角色互換：孩子教爸爸操作與原理
115–120 錄音總結、作品命名、版本存檔</x:v>
      </x:c>
      <x:c r="I32" s="40" t="str">
        <x:v>請家人試玩，不提示操作，記錄卡住與好笑時刻</x:v>
      </x:c>
      <x:c r="J32" s="40" t="str">
        <x:v>交換作品</x:v>
      </x:c>
      <x:c r="K32" s="40" t="str">
        <x:v>測試紀錄＋Beta 版本</x:v>
      </x:c>
      <x:c r="L32" s="40" t="str">
        <x:v>問題拆解</x:v>
      </x:c>
      <x:c r="M32" s="40" t="str">
        <x:v>登入 Scratch；先試跑範例積木；準備紙筆與可選素材。</x:v>
      </x:c>
      <x:c r="N32" s="40" t="str">
        <x:v>15–30 分鐘自由改造；寫三句學習日誌：我做了什麼、哪裡卡住、下次想加什麼。</x:v>
      </x:c>
      <x:c r="O32" s="40" t="str">
        <x:v>完成「測試紀錄＋Beta 版本」；能不用看稿說出核心原理；能指出至少一個錯誤、限制或安全注意事項。</x:v>
      </x:c>
      <x:c r="P32" s="40" t="str">
        <x:v>R03</x:v>
      </x:c>
      <x:c r="Q32" s="40" t="str">
        <x:v>https://scratch.mit.edu/educators/</x:v>
      </x:c>
      <x:c r="R32" s="40" t="str">
        <x:v>請孩子回答：1. 玩家測試與改版在解決什麼？2. 我怎麼做？3. 哪裡容易錯？4. 生活中哪裡會用到？</x:v>
      </x:c>
      <x:c r="S32" s="40" t="str">
        <x:v>父子科技課 #031｜玩家測試與改版</x:v>
      </x:c>
      <x:c r="T32" s="40" t="n">
        <x:v>2</x:v>
      </x:c>
      <x:c r="U32" s="38" t="str">
        <x:v>玩家測試與改版 Scratch coding game animation beginner tutorial Scratch</x:v>
      </x:c>
      <x:c r="V32" s="38" t="str">
        <x:v>https://www.youtube.com/results?search_query=%E7%8E%A9%E5%AE%B6%E6%B8%AC%E8%A9%A6%E8%88%87%E6%94%B9%E7%89%88+Scratch+coding+game+animation+beginner+tutorial+Scratch</x:v>
      </x:c>
      <x:c r="W32" s="38" t="str">
        <x:v>課前暖身</x:v>
      </x:c>
      <x:c r="X32" s="38" t="str">
        <x:v>玩家測試與改版 從觀察而非辯解中取得使用者回饋 hands on project for kids Scratch coding game animation</x:v>
      </x:c>
      <x:c r="Y32" s="38" t="str">
        <x:v>https://www.youtube.com/results?search_query=%E7%8E%A9%E5%AE%B6%E6%B8%AC%E8%A9%A6%E8%88%87%E6%94%B9%E7%89%88+%E5%BE%9E%E8%A7%80%E5%AF%9F%E8%80%8C%E9%9D%9E%E8%BE%AF%E8%A7%A3%E4%B8%AD%E5%8F%96%E5%BE%97%E4%BD%BF%E7%94%A8%E8%80%85%E5%9B%9E%E9%A5%8B+hands+on+project+for+kids+Scratch+coding+game+animation</x:v>
      </x:c>
      <x:c r="Z32" s="38" t="str">
        <x:v>課中實作參考</x:v>
      </x:c>
      <x:c r="AA32" s="38" t="str">
        <x:v>玩家測試與改版 中文 教學 原理 安全 親子 Scratch coding game animation</x:v>
      </x:c>
      <x:c r="AB32" s="38" t="str">
        <x:v>https://www.youtube.com/results?search_query=%E7%8E%A9%E5%AE%B6%E6%B8%AC%E8%A9%A6%E8%88%87%E6%94%B9%E7%89%88+%E4%B8%AD%E6%96%87+%E6%95%99%E5%AD%B8+%E5%8E%9F%E7%90%86+%E5%AE%89%E5%85%A8+%E8%A6%AA%E5%AD%90+Scratch+coding+game+animation</x:v>
      </x:c>
      <x:c r="AC32" s="38" t="str">
        <x:v>課後延伸／親子討論</x:v>
      </x:c>
    </x:row>
    <x:row r="33" ht="105" customHeight="1">
      <x:c r="A33" s="40" t="n">
        <x:v>32</x:v>
      </x:c>
      <x:c r="B33" s="40" t="str">
        <x:v>第 1 年</x:v>
      </x:c>
      <x:c r="C33" s="40" t="str">
        <x:v>M02 Scratch 創意遊戲與計算思維</x:v>
      </x:c>
      <x:c r="D33" s="40" t="n">
        <x:v>16</x:v>
      </x:c>
      <x:c r="E33" s="40" t="str">
        <x:v>Scratch 遊戲展</x:v>
      </x:c>
      <x:c r="F33" s="40" t="str">
        <x:v>計算思維／視覺化程式／遊戲設計</x:v>
      </x:c>
      <x:c r="G33" s="40" t="str">
        <x:v>練習作品介紹、操作教學、回饋與發布禮儀</x:v>
      </x:c>
      <x:c r="H33" s="40" t="str">
        <x:v>00–10 任務開場：Scratch 遊戲展
10–25 概念示範：練習作品介紹、操作教學、回饋與發布禮儀
25–65 父子共同實作：舉辦家庭遊戲展，孩子示範並回答三個設計問題
65–75 休息／走動／聊天
75–105 孩子獨立改造：增加一個自選規則或功能
105–115 角色互換：孩子教爸爸操作與原理
115–120 錄音總結、作品命名、版本存檔</x:v>
      </x:c>
      <x:c r="I33" s="40" t="str">
        <x:v>舉辦家庭遊戲展，孩子示範並回答三個設計問題</x:v>
      </x:c>
      <x:c r="J33" s="40" t="str">
        <x:v>玩家測試</x:v>
      </x:c>
      <x:c r="K33" s="40" t="str">
        <x:v>正式版遊戲＋展示錄音</x:v>
      </x:c>
      <x:c r="L33" s="40" t="str">
        <x:v>創意與設計</x:v>
      </x:c>
      <x:c r="M33" s="40" t="str">
        <x:v>登入 Scratch；先試跑範例積木；準備紙筆與可選素材。</x:v>
      </x:c>
      <x:c r="N33" s="40" t="str">
        <x:v>15–30 分鐘自由改造；寫三句學習日誌：我做了什麼、哪裡卡住、下次想加什麼。</x:v>
      </x:c>
      <x:c r="O33" s="40" t="str">
        <x:v>完成「正式版遊戲＋展示錄音」；能不用看稿說出核心原理；能指出至少一個錯誤、限制或安全注意事項。</x:v>
      </x:c>
      <x:c r="P33" s="40" t="str">
        <x:v>R02</x:v>
      </x:c>
      <x:c r="Q33" s="40" t="str">
        <x:v>https://scratch.mit.edu/</x:v>
      </x:c>
      <x:c r="R33" s="40" t="str">
        <x:v>請孩子回答：1. Scratch 遊戲展在解決什麼？2. 我怎麼做？3. 哪裡容易錯？4. 生活中哪裡會用到？</x:v>
      </x:c>
      <x:c r="S33" s="40" t="str">
        <x:v>父子科技課 #032｜Scratch 遊戲展</x:v>
      </x:c>
      <x:c r="T33" s="40" t="n">
        <x:v>2</x:v>
      </x:c>
      <x:c r="U33" s="38" t="str">
        <x:v>Scratch 遊戲展 Scratch coding game animation beginner tutorial Scratch</x:v>
      </x:c>
      <x:c r="V33" s="38" t="str">
        <x:v>https://www.youtube.com/results?search_query=Scratch+%E9%81%8A%E6%88%B2%E5%B1%95+Scratch+coding+game+animation+beginner+tutorial+Scratch</x:v>
      </x:c>
      <x:c r="W33" s="38" t="str">
        <x:v>課前暖身</x:v>
      </x:c>
      <x:c r="X33" s="38" t="str">
        <x:v>Scratch 遊戲展 練習作品介紹、操作教學、回饋與發布禮儀 hands on project for kids Scratch coding game animation</x:v>
      </x:c>
      <x:c r="Y33" s="38" t="str">
        <x:v>https://www.youtube.com/results?search_query=Scratch+%E9%81%8A%E6%88%B2%E5%B1%95+%E7%B7%B4%E7%BF%92%E4%BD%9C%E5%93%81%E4%BB%8B%E7%B4%B9%E3%80%81%E6%93%8D%E4%BD%9C%E6%95%99%E5%AD%B8%E3%80%81%E5%9B%9E%E9%A5%8B%E8%88%87%E7%99%BC%E5%B8%83%E7%A6%AE%E5%84%80+hands+on+project+for+kids+Scratch+coding+game+animation</x:v>
      </x:c>
      <x:c r="Z33" s="38" t="str">
        <x:v>課中實作參考</x:v>
      </x:c>
      <x:c r="AA33" s="38" t="str">
        <x:v>Scratch 遊戲展 中文 教學 原理 安全 親子 Scratch coding game animation</x:v>
      </x:c>
      <x:c r="AB33" s="38" t="str">
        <x:v>https://www.youtube.com/results?search_query=Scratch+%E9%81%8A%E6%88%B2%E5%B1%95+%E4%B8%AD%E6%96%87+%E6%95%99%E5%AD%B8+%E5%8E%9F%E7%90%86+%E5%AE%89%E5%85%A8+%E8%A6%AA%E5%AD%90+Scratch+coding+game+animation</x:v>
      </x:c>
      <x:c r="AC33" s="38" t="str">
        <x:v>課後延伸／親子討論</x:v>
      </x:c>
    </x:row>
    <x:row r="34" ht="105" customHeight="1">
      <x:c r="A34" s="40" t="n">
        <x:v>33</x:v>
      </x:c>
      <x:c r="B34" s="40" t="str">
        <x:v>第 1 年</x:v>
      </x:c>
      <x:c r="C34" s="40" t="str">
        <x:v>M03 AI 創作與 YouTube 媒體工坊</x:v>
      </x:c>
      <x:c r="D34" s="40" t="n">
        <x:v>1</x:v>
      </x:c>
      <x:c r="E34" s="40" t="str">
        <x:v>AI 圖像提示詞：主角、場景、動作與構圖</x:v>
      </x:c>
      <x:c r="F34" s="40" t="str">
        <x:v>生成式 AI／敘事／錄音／簡報／TTS／影音</x:v>
      </x:c>
      <x:c r="G34" s="40" t="str">
        <x:v>用具體視覺元素控制生成結果，而非只寫風格詞</x:v>
      </x:c>
      <x:c r="H34" s="40" t="str">
        <x:v>00–10 任務開場：AI 圖像提示詞：主角、場景、動作與構圖
10–25 概念示範：用具體視覺元素控制生成結果，而非只寫風格詞
25–65 父子共同實作：同一角色做三種鏡位，分析哪些描述真正改變畫面
65–75 休息／走動／聊天
75–105 孩子獨立改造：增加一個自選規則或功能
105–115 角色互換：孩子教爸爸操作與原理
115–120 錄音總結、作品命名、版本存檔</x:v>
      </x:c>
      <x:c r="I34" s="40" t="str">
        <x:v>同一角色做三種鏡位，分析哪些描述真正改變畫面</x:v>
      </x:c>
      <x:c r="J34" s="40" t="str">
        <x:v>盲測</x:v>
      </x:c>
      <x:c r="K34" s="40" t="str">
        <x:v>三格角色概念圖</x:v>
      </x:c>
      <x:c r="L34" s="40" t="str">
        <x:v>創意與設計</x:v>
      </x:c>
      <x:c r="M34" s="40" t="str">
        <x:v>確認錄音、簡報、剪輯與 TTS 工具；所有發布由家長最終審核。</x:v>
      </x:c>
      <x:c r="N34" s="40" t="str">
        <x:v>15–30 分鐘自由改造；寫三句學習日誌：我做了什麼、哪裡卡住、下次想加什麼。</x:v>
      </x:c>
      <x:c r="O34" s="40" t="str">
        <x:v>完成「三格角色概念圖」；能不用看稿說出核心原理；能指出至少一個錯誤、限制或安全注意事項。</x:v>
      </x:c>
      <x:c r="P34" s="40" t="str">
        <x:v>R21</x:v>
      </x:c>
      <x:c r="Q34" s="40" t="str">
        <x:v>https://academy.openai.com/public/clubs/work-users-ynjqu/resources/prompting</x:v>
      </x:c>
      <x:c r="R34" s="40" t="str">
        <x:v>請孩子回答：1. AI 圖像提示詞：主角、場景、動作與構圖在解決什麼？2. 我怎麼做？3. 哪裡容易錯？4. 生活中哪裡會用到？</x:v>
      </x:c>
      <x:c r="S34" s="40" t="str">
        <x:v>父子科技課 #033｜AI 圖像提示詞：主角、場景、動作與構圖</x:v>
      </x:c>
      <x:c r="T34" s="40" t="n">
        <x:v>1</x:v>
      </x:c>
      <x:c r="U34" s="38" t="str">
        <x:v>AI 圖像提示詞 主角、場景、動作與構圖 AI literacy media creation YouTube beginner tutorial Day</x:v>
      </x:c>
      <x:c r="V34" s="38" t="str">
        <x:v>https://www.youtube.com/results?search_query=AI+%E5%9C%96%E5%83%8F%E6%8F%90%E7%A4%BA%E8%A9%9E+%E4%B8%BB%E8%A7%92%E3%80%81%E5%A0%B4%E6%99%AF%E3%80%81%E5%8B%95%E4%BD%9C%E8%88%87%E6%A7%8B%E5%9C%96+AI+literacy+media+creation+YouTube+beginner+tutorial+Day</x:v>
      </x:c>
      <x:c r="W34" s="38" t="str">
        <x:v>課前暖身</x:v>
      </x:c>
      <x:c r="X34" s="38" t="str">
        <x:v>AI 圖像提示詞 主角、場景、動作與構圖 用具體視覺元素控制生成結果，而非只寫風格詞 hands on project for kids AI literacy media creation YouTube</x:v>
      </x:c>
      <x:c r="Y34" s="38" t="str">
        <x:v>https://www.youtube.com/results?search_query=AI+%E5%9C%96%E5%83%8F%E6%8F%90%E7%A4%BA%E8%A9%9E+%E4%B8%BB%E8%A7%92%E3%80%81%E5%A0%B4%E6%99%AF%E3%80%81%E5%8B%95%E4%BD%9C%E8%88%87%E6%A7%8B%E5%9C%96+%E7%94%A8%E5%85%B7%E9%AB%94%E8%A6%96%E8%A6%BA%E5%85%83%E7%B4%A0%E6%8E%A7%E5%88%B6%E7%94%9F%E6%88%90%E7%B5%90%E6%9E%9C%EF%BC%8C%E8%80%8C%E9%9D%9E%E5%8F%AA%E5%AF%AB%E9%A2%A8%E6%A0%BC%E8%A9%9E+hands+on+project+for+kids+AI+literacy+media+creation+YouTube</x:v>
      </x:c>
      <x:c r="Z34" s="38" t="str">
        <x:v>課中實作參考</x:v>
      </x:c>
      <x:c r="AA34" s="38" t="str">
        <x:v>AI 圖像提示詞 主角、場景、動作與構圖 中文 教學 原理 安全 親子 AI literacy media creation YouTube</x:v>
      </x:c>
      <x:c r="AB34" s="38" t="str">
        <x:v>https://www.youtube.com/results?search_query=AI+%E5%9C%96%E5%83%8F%E6%8F%90%E7%A4%BA%E8%A9%9E+%E4%B8%BB%E8%A7%92%E3%80%81%E5%A0%B4%E6%99%AF%E3%80%81%E5%8B%95%E4%BD%9C%E8%88%87%E6%A7%8B%E5%9C%96+%E4%B8%AD%E6%96%87+%E6%95%99%E5%AD%B8+%E5%8E%9F%E7%90%86+%E5%AE%89%E5%85%A8+%E8%A6%AA%E5%AD%90+AI+literacy+media+creation+YouTube</x:v>
      </x:c>
      <x:c r="AC34" s="38" t="str">
        <x:v>課後延伸／親子討論</x:v>
      </x:c>
    </x:row>
    <x:row r="35" ht="105" customHeight="1">
      <x:c r="A35" s="40" t="n">
        <x:v>34</x:v>
      </x:c>
      <x:c r="B35" s="40" t="str">
        <x:v>第 1 年</x:v>
      </x:c>
      <x:c r="C35" s="40" t="str">
        <x:v>M03 AI 創作與 YouTube 媒體工坊</x:v>
      </x:c>
      <x:c r="D35" s="40" t="n">
        <x:v>2</x:v>
      </x:c>
      <x:c r="E35" s="40" t="str">
        <x:v>著作權、引用與『我真的能用嗎』</x:v>
      </x:c>
      <x:c r="F35" s="40" t="str">
        <x:v>生成式 AI／敘事／錄音／簡報／TTS／影音</x:v>
      </x:c>
      <x:c r="G35" s="40" t="str">
        <x:v>理解原創、授權、合理使用、素材來源與平台規範</x:v>
      </x:c>
      <x:c r="H35" s="40" t="str">
        <x:v>00–10 任務開場：著作權、引用與『我真的能用嗎』
10–25 概念示範：理解原創、授權、合理使用、素材來源與平台規範
25–65 父子共同實作：為 8 種圖片/音樂情境分類：可用、需授權、不可直接用
65–75 休息／走動／聊天
75–105 孩子獨立改造：增加一個自選規則或功能
105–115 角色互換：孩子教爸爸操作與原理
115–120 錄音總結、作品命名、版本存檔</x:v>
      </x:c>
      <x:c r="I35" s="40" t="str">
        <x:v>為 8 種圖片/音樂情境分類：可用、需授權、不可直接用</x:v>
      </x:c>
      <x:c r="J35" s="40" t="str">
        <x:v>導演模式</x:v>
      </x:c>
      <x:c r="K35" s="40" t="str">
        <x:v>素材來源紀錄表</x:v>
      </x:c>
      <x:c r="L35" s="40" t="str">
        <x:v>安全</x:v>
      </x:c>
      <x:c r="M35" s="40" t="str">
        <x:v>確認錄音、簡報、剪輯與 TTS 工具；所有發布由家長最終審核。</x:v>
      </x:c>
      <x:c r="N35" s="40" t="str">
        <x:v>15–30 分鐘自由改造；寫三句學習日誌：我做了什麼、哪裡卡住、下次想加什麼。</x:v>
      </x:c>
      <x:c r="O35" s="40" t="str">
        <x:v>完成「素材來源紀錄表」；能不用看稿說出核心原理；能指出至少一個錯誤、限制或安全注意事項。</x:v>
      </x:c>
      <x:c r="P35" s="40" t="str">
        <x:v>R26</x:v>
      </x:c>
      <x:c r="Q35" s="40" t="str">
        <x:v>https://creatoracademy.youtube.com/page/lesson/copyright-guidelines</x:v>
      </x:c>
      <x:c r="R35" s="40" t="str">
        <x:v>請孩子回答：1. 著作權、引用與『我真的能用嗎』在解決什麼？2. 我怎麼做？3. 哪裡容易錯？4. 生活中哪裡會用到？</x:v>
      </x:c>
      <x:c r="S35" s="40" t="str">
        <x:v>父子科技課 #034｜著作權、引用與『我真的能用嗎』</x:v>
      </x:c>
      <x:c r="T35" s="40" t="n">
        <x:v>1</x:v>
      </x:c>
      <x:c r="U35" s="38" t="str">
        <x:v>著作權、引用與『我真的能用嗎』 AI literacy media creation YouTube beginner tutorial Day</x:v>
      </x:c>
      <x:c r="V35" s="38" t="str">
        <x:v>https://www.youtube.com/results?search_query=%E8%91%97%E4%BD%9C%E6%AC%8A%E3%80%81%E5%BC%95%E7%94%A8%E8%88%87%E3%80%8E%E6%88%91%E7%9C%9F%E7%9A%84%E8%83%BD%E7%94%A8%E5%97%8E%E3%80%8F+AI+literacy+media+creation+YouTube+beginner+tutorial+Day</x:v>
      </x:c>
      <x:c r="W35" s="38" t="str">
        <x:v>課前暖身</x:v>
      </x:c>
      <x:c r="X35" s="38" t="str">
        <x:v>著作權、引用與『我真的能用嗎』 理解原創、授權、合理使用、素材來源與平台規範 hands on project for kids AI literacy media creation YouTube</x:v>
      </x:c>
      <x:c r="Y35" s="38" t="str">
        <x:v>https://www.youtube.com/results?search_query=%E8%91%97%E4%BD%9C%E6%AC%8A%E3%80%81%E5%BC%95%E7%94%A8%E8%88%87%E3%80%8E%E6%88%91%E7%9C%9F%E7%9A%84%E8%83%BD%E7%94%A8%E5%97%8E%E3%80%8F+%E7%90%86%E8%A7%A3%E5%8E%9F%E5%89%B5%E3%80%81%E6%8E%88%E6%AC%8A%E3%80%81%E5%90%88%E7%90%86%E4%BD%BF%E7%94%A8%E3%80%81%E7%B4%A0%E6%9D%90%E4%BE%86%E6%BA%90%E8%88%87%E5%B9%B3%E5%8F%B0%E8%A6%8F%E7%AF%84+hands+on+project+for+kids+AI+literacy+media+creation+YouTube</x:v>
      </x:c>
      <x:c r="Z35" s="38" t="str">
        <x:v>課中實作參考</x:v>
      </x:c>
      <x:c r="AA35" s="38" t="str">
        <x:v>著作權、引用與『我真的能用嗎』 中文 教學 原理 安全 親子 AI literacy media creation YouTube</x:v>
      </x:c>
      <x:c r="AB35" s="38" t="str">
        <x:v>https://www.youtube.com/results?search_query=%E8%91%97%E4%BD%9C%E6%AC%8A%E3%80%81%E5%BC%95%E7%94%A8%E8%88%87%E3%80%8E%E6%88%91%E7%9C%9F%E7%9A%84%E8%83%BD%E7%94%A8%E5%97%8E%E3%80%8F+%E4%B8%AD%E6%96%87+%E6%95%99%E5%AD%B8+%E5%8E%9F%E7%90%86+%E5%AE%89%E5%85%A8+%E8%A6%AA%E5%AD%90+AI+literacy+media+creation+YouTube</x:v>
      </x:c>
      <x:c r="AC35" s="38" t="str">
        <x:v>課後延伸／親子討論</x:v>
      </x:c>
    </x:row>
    <x:row r="36" ht="105" customHeight="1">
      <x:c r="A36" s="40" t="n">
        <x:v>35</x:v>
      </x:c>
      <x:c r="B36" s="40" t="str">
        <x:v>第 1 年</x:v>
      </x:c>
      <x:c r="C36" s="40" t="str">
        <x:v>M03 AI 創作與 YouTube 媒體工坊</x:v>
      </x:c>
      <x:c r="D36" s="40" t="n">
        <x:v>3</x:v>
      </x:c>
      <x:c r="E36" s="40" t="str">
        <x:v>AI 幫忙想故事，但人類當導演</x:v>
      </x:c>
      <x:c r="F36" s="40" t="str">
        <x:v>生成式 AI／敘事／錄音／簡報／TTS／影音</x:v>
      </x:c>
      <x:c r="G36" s="40" t="str">
        <x:v>用 AI 腦力激盪，保留人類選擇、改寫與責任</x:v>
      </x:c>
      <x:c r="H36" s="40" t="str">
        <x:v>00–10 任務開場：AI 幫忙想故事，但人類當導演
10–25 概念示範：用 AI 腦力激盪，保留人類選擇、改寫與責任
25–65 父子共同實作：先由孩子寫故事核心，再讓 AI 提 10 個變化，只選 2 個改造
65–75 休息／走動／聊天
75–105 孩子獨立改造：增加一個自選規則或功能
105–115 角色互換：孩子教爸爸操作與原理
115–120 錄音總結、作品命名、版本存檔</x:v>
      </x:c>
      <x:c r="I36" s="40" t="str">
        <x:v>先由孩子寫故事核心，再讓 AI 提 10 個變化，只選 2 個改造</x:v>
      </x:c>
      <x:c r="J36" s="40" t="str">
        <x:v>家庭投票</x:v>
      </x:c>
      <x:c r="K36" s="40" t="str">
        <x:v>一頁故事企劃</x:v>
      </x:c>
      <x:c r="L36" s="40" t="str">
        <x:v>創意與設計</x:v>
      </x:c>
      <x:c r="M36" s="40" t="str">
        <x:v>確認錄音、簡報、剪輯與 TTS 工具；所有發布由家長最終審核。</x:v>
      </x:c>
      <x:c r="N36" s="40" t="str">
        <x:v>15–30 分鐘自由改造；寫三句學習日誌：我做了什麼、哪裡卡住、下次想加什麼。</x:v>
      </x:c>
      <x:c r="O36" s="40" t="str">
        <x:v>完成「一頁故事企劃」；能不用看稿說出核心原理；能指出至少一個錯誤、限制或安全注意事項。</x:v>
      </x:c>
      <x:c r="P36" s="40" t="str">
        <x:v>R20</x:v>
      </x:c>
      <x:c r="Q36" s="40" t="str">
        <x:v>https://academy.openai.com/</x:v>
      </x:c>
      <x:c r="R36" s="40" t="str">
        <x:v>請孩子回答：1. AI 幫忙想故事，但人類當導演在解決什麼？2. 我怎麼做？3. 哪裡容易錯？4. 生活中哪裡會用到？</x:v>
      </x:c>
      <x:c r="S36" s="40" t="str">
        <x:v>父子科技課 #035｜AI 幫忙想故事，但人類當導演</x:v>
      </x:c>
      <x:c r="T36" s="40" t="n">
        <x:v>1</x:v>
      </x:c>
      <x:c r="U36" s="38" t="str">
        <x:v>AI 幫忙想故事，但人類當導演 AI literacy media creation YouTube beginner tutorial Day</x:v>
      </x:c>
      <x:c r="V36" s="38" t="str">
        <x:v>https://www.youtube.com/results?search_query=AI+%E5%B9%AB%E5%BF%99%E6%83%B3%E6%95%85%E4%BA%8B%EF%BC%8C%E4%BD%86%E4%BA%BA%E9%A1%9E%E7%95%B6%E5%B0%8E%E6%BC%94+AI+literacy+media+creation+YouTube+beginner+tutorial+Day</x:v>
      </x:c>
      <x:c r="W36" s="38" t="str">
        <x:v>課前暖身</x:v>
      </x:c>
      <x:c r="X36" s="38" t="str">
        <x:v>AI 幫忙想故事，但人類當導演 用 AI 腦力激盪，保留人類選擇、改寫與責任 hands on project for kids AI literacy media creation</x:v>
      </x:c>
      <x:c r="Y36" s="38" t="str">
        <x:v>https://www.youtube.com/results?search_query=AI+%E5%B9%AB%E5%BF%99%E6%83%B3%E6%95%85%E4%BA%8B%EF%BC%8C%E4%BD%86%E4%BA%BA%E9%A1%9E%E7%95%B6%E5%B0%8E%E6%BC%94+%E7%94%A8+AI+%E8%85%A6%E5%8A%9B%E6%BF%80%E7%9B%AA%EF%BC%8C%E4%BF%9D%E7%95%99%E4%BA%BA%E9%A1%9E%E9%81%B8%E6%93%87%E3%80%81%E6%94%B9%E5%AF%AB%E8%88%87%E8%B2%AC%E4%BB%BB+hands+on+project+for+kids+AI+literacy+media+creation+YouTube</x:v>
      </x:c>
      <x:c r="Z36" s="38" t="str">
        <x:v>課中實作參考</x:v>
      </x:c>
      <x:c r="AA36" s="38" t="str">
        <x:v>AI 幫忙想故事，但人類當導演 中文 教學 原理 安全 親子 AI literacy media creation YouTube</x:v>
      </x:c>
      <x:c r="AB36" s="38" t="str">
        <x:v>https://www.youtube.com/results?search_query=AI+%E5%B9%AB%E5%BF%99%E6%83%B3%E6%95%85%E4%BA%8B%EF%BC%8C%E4%BD%86%E4%BA%BA%E9%A1%9E%E7%95%B6%E5%B0%8E%E6%BC%94+%E4%B8%AD%E6%96%87+%E6%95%99%E5%AD%B8+%E5%8E%9F%E7%90%86+%E5%AE%89%E5%85%A8+%E8%A6%AA%E5%AD%90+AI+literacy+media+creation+YouTube</x:v>
      </x:c>
      <x:c r="AC36" s="38" t="str">
        <x:v>課後延伸／親子討論</x:v>
      </x:c>
    </x:row>
    <x:row r="37" ht="105" customHeight="1">
      <x:c r="A37" s="40" t="n">
        <x:v>36</x:v>
      </x:c>
      <x:c r="B37" s="40" t="str">
        <x:v>第 1 年</x:v>
      </x:c>
      <x:c r="C37" s="40" t="str">
        <x:v>M03 AI 創作與 YouTube 媒體工坊</x:v>
      </x:c>
      <x:c r="D37" s="40" t="n">
        <x:v>4</x:v>
      </x:c>
      <x:c r="E37" s="40" t="str">
        <x:v>角色設定與世界觀聖經</x:v>
      </x:c>
      <x:c r="F37" s="40" t="str">
        <x:v>生成式 AI／敘事／錄音／簡報／TTS／影音</x:v>
      </x:c>
      <x:c r="G37" s="40" t="str">
        <x:v>建立角色目標、限制、關係、規則與一致性</x:v>
      </x:c>
      <x:c r="H37" s="40" t="str">
        <x:v>00–10 任務開場：角色設定與世界觀聖經
10–25 概念示範：建立角色目標、限制、關係、規則與一致性
25–65 父子共同實作：替『電池守護機器人』建立角色卡與世界規則
65–75 休息／走動／聊天
75–105 孩子獨立改造：增加一個自選規則或功能
105–115 角色互換：孩子教爸爸操作與原理
115–120 錄音總結、作品命名、版本存檔</x:v>
      </x:c>
      <x:c r="I37" s="40" t="str">
        <x:v>替『電池守護機器人』建立角色卡與世界規則</x:v>
      </x:c>
      <x:c r="J37" s="40" t="str">
        <x:v>首映會</x:v>
      </x:c>
      <x:c r="K37" s="40" t="str">
        <x:v>角色／世界觀 Bible</x:v>
      </x:c>
      <x:c r="L37" s="40" t="str">
        <x:v>創意與設計</x:v>
      </x:c>
      <x:c r="M37" s="40" t="str">
        <x:v>確認錄音、簡報、剪輯與 TTS 工具；所有發布由家長最終審核。</x:v>
      </x:c>
      <x:c r="N37" s="40" t="str">
        <x:v>15–30 分鐘自由改造；寫三句學習日誌：我做了什麼、哪裡卡住、下次想加什麼。</x:v>
      </x:c>
      <x:c r="O37" s="40" t="str">
        <x:v>完成「角色／世界觀 Bible」；能不用看稿說出核心原理；能指出至少一個錯誤、限制或安全注意事項。</x:v>
      </x:c>
      <x:c r="P37" s="40" t="str">
        <x:v>R21</x:v>
      </x:c>
      <x:c r="Q37" s="40" t="str">
        <x:v>https://academy.openai.com/public/clubs/work-users-ynjqu/resources/prompting</x:v>
      </x:c>
      <x:c r="R37" s="40" t="str">
        <x:v>請孩子回答：1. 角色設定與世界觀聖經在解決什麼？2. 我怎麼做？3. 哪裡容易錯？4. 生活中哪裡會用到？</x:v>
      </x:c>
      <x:c r="S37" s="40" t="str">
        <x:v>父子科技課 #036｜角色設定與世界觀聖經</x:v>
      </x:c>
      <x:c r="T37" s="40" t="n">
        <x:v>1</x:v>
      </x:c>
      <x:c r="U37" s="38" t="str">
        <x:v>角色設定與世界觀聖經 AI literacy media creation YouTube beginner tutorial Day</x:v>
      </x:c>
      <x:c r="V37" s="38" t="str">
        <x:v>https://www.youtube.com/results?search_query=%E8%A7%92%E8%89%B2%E8%A8%AD%E5%AE%9A%E8%88%87%E4%B8%96%E7%95%8C%E8%A7%80%E8%81%96%E7%B6%93+AI+literacy+media+creation+YouTube+beginner+tutorial+Day</x:v>
      </x:c>
      <x:c r="W37" s="38" t="str">
        <x:v>課前暖身</x:v>
      </x:c>
      <x:c r="X37" s="38" t="str">
        <x:v>角色設定與世界觀聖經 建立角色目標、限制、關係、規則與一致性 hands on project for kids AI literacy media creation YouTube</x:v>
      </x:c>
      <x:c r="Y37" s="38" t="str">
        <x:v>https://www.youtube.com/results?search_query=%E8%A7%92%E8%89%B2%E8%A8%AD%E5%AE%9A%E8%88%87%E4%B8%96%E7%95%8C%E8%A7%80%E8%81%96%E7%B6%93+%E5%BB%BA%E7%AB%8B%E8%A7%92%E8%89%B2%E7%9B%AE%E6%A8%99%E3%80%81%E9%99%90%E5%88%B6%E3%80%81%E9%97%9C%E4%BF%82%E3%80%81%E8%A6%8F%E5%89%87%E8%88%87%E4%B8%80%E8%87%B4%E6%80%A7+hands+on+project+for+kids+AI+literacy+media+creation+YouTube</x:v>
      </x:c>
      <x:c r="Z37" s="38" t="str">
        <x:v>課中實作參考</x:v>
      </x:c>
      <x:c r="AA37" s="38" t="str">
        <x:v>角色設定與世界觀聖經 中文 教學 原理 安全 親子 AI literacy media creation YouTube</x:v>
      </x:c>
      <x:c r="AB37" s="38" t="str">
        <x:v>https://www.youtube.com/results?search_query=%E8%A7%92%E8%89%B2%E8%A8%AD%E5%AE%9A%E8%88%87%E4%B8%96%E7%95%8C%E8%A7%80%E8%81%96%E7%B6%93+%E4%B8%AD%E6%96%87+%E6%95%99%E5%AD%B8+%E5%8E%9F%E7%90%86+%E5%AE%89%E5%85%A8+%E8%A6%AA%E5%AD%90+AI+literacy+media+creation+YouTube</x:v>
      </x:c>
      <x:c r="AC37" s="38" t="str">
        <x:v>課後延伸／親子討論</x:v>
      </x:c>
    </x:row>
    <x:row r="38" ht="105" customHeight="1">
      <x:c r="A38" s="40" t="n">
        <x:v>37</x:v>
      </x:c>
      <x:c r="B38" s="40" t="str">
        <x:v>第 1 年</x:v>
      </x:c>
      <x:c r="C38" s="40" t="str">
        <x:v>M03 AI 創作與 YouTube 媒體工坊</x:v>
      </x:c>
      <x:c r="D38" s="40" t="n">
        <x:v>5</x:v>
      </x:c>
      <x:c r="E38" s="40" t="str">
        <x:v>好聲音：距離、噪音、情緒與停頓</x:v>
      </x:c>
      <x:c r="F38" s="40" t="str">
        <x:v>生成式 AI／敘事／錄音／簡報／TTS／影音</x:v>
      </x:c>
      <x:c r="G38" s="40" t="str">
        <x:v>理解收音環境、麥克風距離、音量與口語節奏</x:v>
      </x:c>
      <x:c r="H38" s="40" t="str">
        <x:v>00–10 任務開場：好聲音：距離、噪音、情緒與停頓
10–25 概念示範：理解收音環境、麥克風距離、音量與口語節奏
25–65 父子共同實作：在三種距離與房間位置錄音，盲聽選最佳版本
65–75 休息／走動／聊天
75–105 孩子獨立改造：增加一個自選規則或功能
105–115 角色互換：孩子教爸爸操作與原理
115–120 錄音總結、作品命名、版本存檔</x:v>
      </x:c>
      <x:c r="I38" s="40" t="str">
        <x:v>在三種距離與房間位置錄音，盲聽選最佳版本</x:v>
      </x:c>
      <x:c r="J38" s="40" t="str">
        <x:v>盲測</x:v>
      </x:c>
      <x:c r="K38" s="40" t="str">
        <x:v>30 秒乾淨旁白</x:v>
      </x:c>
      <x:c r="L38" s="40" t="str">
        <x:v>媒體表達</x:v>
      </x:c>
      <x:c r="M38" s="40" t="str">
        <x:v>確認錄音、簡報、剪輯與 TTS 工具；所有發布由家長最終審核。</x:v>
      </x:c>
      <x:c r="N38" s="40" t="str">
        <x:v>15–30 分鐘自由改造；寫三句學習日誌：我做了什麼、哪裡卡住、下次想加什麼。</x:v>
      </x:c>
      <x:c r="O38" s="40" t="str">
        <x:v>完成「30 秒乾淨旁白」；能不用看稿說出核心原理；能指出至少一個錯誤、限制或安全注意事項。</x:v>
      </x:c>
      <x:c r="P38" s="40" t="str">
        <x:v>R26</x:v>
      </x:c>
      <x:c r="Q38" s="40" t="str">
        <x:v>https://creatoracademy.youtube.com/page/lesson/copyright-guidelines</x:v>
      </x:c>
      <x:c r="R38" s="40" t="str">
        <x:v>請孩子回答：1. 好聲音：距離、噪音、情緒與停頓在解決什麼？2. 我怎麼做？3. 哪裡容易錯？4. 生活中哪裡會用到？</x:v>
      </x:c>
      <x:c r="S38" s="40" t="str">
        <x:v>父子科技課 #037｜好聲音：距離、噪音、情緒與停頓</x:v>
      </x:c>
      <x:c r="T38" s="40" t="n">
        <x:v>1</x:v>
      </x:c>
      <x:c r="U38" s="38" t="str">
        <x:v>好聲音 距離、噪音、情緒與停頓 AI literacy media creation YouTube beginner tutorial Day</x:v>
      </x:c>
      <x:c r="V38" s="38" t="str">
        <x:v>https://www.youtube.com/results?search_query=%E5%A5%BD%E8%81%B2%E9%9F%B3+%E8%B7%9D%E9%9B%A2%E3%80%81%E5%99%AA%E9%9F%B3%E3%80%81%E6%83%85%E7%B7%92%E8%88%87%E5%81%9C%E9%A0%93+AI+literacy+media+creation+YouTube+beginner+tutorial+Day</x:v>
      </x:c>
      <x:c r="W38" s="38" t="str">
        <x:v>課前暖身</x:v>
      </x:c>
      <x:c r="X38" s="38" t="str">
        <x:v>好聲音 距離、噪音、情緒與停頓 理解收音環境、麥克風距離、音量與口語節奏 hands on project for kids AI literacy media creation YouTube</x:v>
      </x:c>
      <x:c r="Y38" s="38" t="str">
        <x:v>https://www.youtube.com/results?search_query=%E5%A5%BD%E8%81%B2%E9%9F%B3+%E8%B7%9D%E9%9B%A2%E3%80%81%E5%99%AA%E9%9F%B3%E3%80%81%E6%83%85%E7%B7%92%E8%88%87%E5%81%9C%E9%A0%93+%E7%90%86%E8%A7%A3%E6%94%B6%E9%9F%B3%E7%92%B0%E5%A2%83%E3%80%81%E9%BA%A5%E5%85%8B%E9%A2%A8%E8%B7%9D%E9%9B%A2%E3%80%81%E9%9F%B3%E9%87%8F%E8%88%87%E5%8F%A3%E8%AA%9E%E7%AF%80%E5%A5%8F+hands+on+project+for+kids+AI+literacy+media+creation+YouTube</x:v>
      </x:c>
      <x:c r="Z38" s="38" t="str">
        <x:v>課中實作參考</x:v>
      </x:c>
      <x:c r="AA38" s="38" t="str">
        <x:v>好聲音 距離、噪音、情緒與停頓 中文 教學 原理 安全 親子 AI literacy media creation YouTube</x:v>
      </x:c>
      <x:c r="AB38" s="38" t="str">
        <x:v>https://www.youtube.com/results?search_query=%E5%A5%BD%E8%81%B2%E9%9F%B3+%E8%B7%9D%E9%9B%A2%E3%80%81%E5%99%AA%E9%9F%B3%E3%80%81%E6%83%85%E7%B7%92%E8%88%87%E5%81%9C%E9%A0%93+%E4%B8%AD%E6%96%87+%E6%95%99%E5%AD%B8+%E5%8E%9F%E7%90%86+%E5%AE%89%E5%85%A8+%E8%A6%AA%E5%AD%90+AI+literacy+media+creation+YouTube</x:v>
      </x:c>
      <x:c r="AC38" s="38" t="str">
        <x:v>課後延伸／親子討論</x:v>
      </x:c>
    </x:row>
    <x:row r="39" ht="105" customHeight="1">
      <x:c r="A39" s="40" t="n">
        <x:v>38</x:v>
      </x:c>
      <x:c r="B39" s="40" t="str">
        <x:v>第 1 年</x:v>
      </x:c>
      <x:c r="C39" s="40" t="str">
        <x:v>M03 AI 創作與 YouTube 媒體工坊</x:v>
      </x:c>
      <x:c r="D39" s="40" t="n">
        <x:v>6</x:v>
      </x:c>
      <x:c r="E39" s="40" t="str">
        <x:v>錄音轉文字：機器聽懂了多少</x:v>
      </x:c>
      <x:c r="F39" s="40" t="str">
        <x:v>生成式 AI／敘事／錄音／簡報／TTS／影音</x:v>
      </x:c>
      <x:c r="G39" s="40" t="str">
        <x:v>理解語音辨識、專有名詞、斷句與人工校正</x:v>
      </x:c>
      <x:c r="H39" s="40" t="str">
        <x:v>00–10 任務開場：錄音轉文字：機器聽懂了多少
10–25 概念示範：理解語音辨識、專有名詞、斷句與人工校正
25–65 父子共同實作：錄一段含中英文科技詞的對話，標記辨識錯誤類型
65–75 休息／走動／聊天
75–105 孩子獨立改造：增加一個自選規則或功能
105–115 角色互換：孩子教爸爸操作與原理
115–120 錄音總結、作品命名、版本存檔</x:v>
      </x:c>
      <x:c r="I39" s="40" t="str">
        <x:v>錄一段含中英文科技詞的對話，標記辨識錯誤類型</x:v>
      </x:c>
      <x:c r="J39" s="40" t="str">
        <x:v>導演模式</x:v>
      </x:c>
      <x:c r="K39" s="40" t="str">
        <x:v>校正前後文字稿</x:v>
      </x:c>
      <x:c r="L39" s="40" t="str">
        <x:v>溝通表達</x:v>
      </x:c>
      <x:c r="M39" s="40" t="str">
        <x:v>確認錄音、簡報、剪輯與 TTS 工具；所有發布由家長最終審核。</x:v>
      </x:c>
      <x:c r="N39" s="40" t="str">
        <x:v>15–30 分鐘自由改造；寫三句學習日誌：我做了什麼、哪裡卡住、下次想加什麼。</x:v>
      </x:c>
      <x:c r="O39" s="40" t="str">
        <x:v>完成「校正前後文字稿」；能不用看稿說出核心原理；能指出至少一個錯誤、限制或安全注意事項。</x:v>
      </x:c>
      <x:c r="P39" s="40" t="str">
        <x:v>R20</x:v>
      </x:c>
      <x:c r="Q39" s="40" t="str">
        <x:v>https://academy.openai.com/</x:v>
      </x:c>
      <x:c r="R39" s="40" t="str">
        <x:v>請孩子回答：1. 錄音轉文字：機器聽懂了多少在解決什麼？2. 我怎麼做？3. 哪裡容易錯？4. 生活中哪裡會用到？</x:v>
      </x:c>
      <x:c r="S39" s="40" t="str">
        <x:v>父子科技課 #038｜錄音轉文字：機器聽懂了多少</x:v>
      </x:c>
      <x:c r="T39" s="40" t="n">
        <x:v>1</x:v>
      </x:c>
      <x:c r="U39" s="38" t="str">
        <x:v>錄音轉文字 機器聽懂了多少 AI literacy media creation YouTube beginner tutorial Day</x:v>
      </x:c>
      <x:c r="V39" s="38" t="str">
        <x:v>https://www.youtube.com/results?search_query=%E9%8C%84%E9%9F%B3%E8%BD%89%E6%96%87%E5%AD%97+%E6%A9%9F%E5%99%A8%E8%81%BD%E6%87%82%E4%BA%86%E5%A4%9A%E5%B0%91+AI+literacy+media+creation+YouTube+beginner+tutorial+Day</x:v>
      </x:c>
      <x:c r="W39" s="38" t="str">
        <x:v>課前暖身</x:v>
      </x:c>
      <x:c r="X39" s="38" t="str">
        <x:v>錄音轉文字 機器聽懂了多少 理解語音辨識、專有名詞、斷句與人工校正 hands on project for kids AI literacy media creation YouTube</x:v>
      </x:c>
      <x:c r="Y39" s="38" t="str">
        <x:v>https://www.youtube.com/results?search_query=%E9%8C%84%E9%9F%B3%E8%BD%89%E6%96%87%E5%AD%97+%E6%A9%9F%E5%99%A8%E8%81%BD%E6%87%82%E4%BA%86%E5%A4%9A%E5%B0%91+%E7%90%86%E8%A7%A3%E8%AA%9E%E9%9F%B3%E8%BE%A8%E8%AD%98%E3%80%81%E5%B0%88%E6%9C%89%E5%90%8D%E8%A9%9E%E3%80%81%E6%96%B7%E5%8F%A5%E8%88%87%E4%BA%BA%E5%B7%A5%E6%A0%A1%E6%AD%A3+hands+on+project+for+kids+AI+literacy+media+creation+YouTube</x:v>
      </x:c>
      <x:c r="Z39" s="38" t="str">
        <x:v>課中實作參考</x:v>
      </x:c>
      <x:c r="AA39" s="38" t="str">
        <x:v>錄音轉文字 機器聽懂了多少 中文 教學 原理 安全 親子 AI literacy media creation YouTube</x:v>
      </x:c>
      <x:c r="AB39" s="38" t="str">
        <x:v>https://www.youtube.com/results?search_query=%E9%8C%84%E9%9F%B3%E8%BD%89%E6%96%87%E5%AD%97+%E6%A9%9F%E5%99%A8%E8%81%BD%E6%87%82%E4%BA%86%E5%A4%9A%E5%B0%91+%E4%B8%AD%E6%96%87+%E6%95%99%E5%AD%B8+%E5%8E%9F%E7%90%86+%E5%AE%89%E5%85%A8+%E8%A6%AA%E5%AD%90+AI+literacy+media+creation+YouTube</x:v>
      </x:c>
      <x:c r="AC39" s="38" t="str">
        <x:v>課後延伸／親子討論</x:v>
      </x:c>
    </x:row>
    <x:row r="40" ht="105" customHeight="1">
      <x:c r="A40" s="40" t="n">
        <x:v>39</x:v>
      </x:c>
      <x:c r="B40" s="40" t="str">
        <x:v>第 1 年</x:v>
      </x:c>
      <x:c r="C40" s="40" t="str">
        <x:v>M03 AI 創作與 YouTube 媒體工坊</x:v>
      </x:c>
      <x:c r="D40" s="40" t="n">
        <x:v>7</x:v>
      </x:c>
      <x:c r="E40" s="40" t="str">
        <x:v>把口語整理成能讀的文字稿</x:v>
      </x:c>
      <x:c r="F40" s="40" t="str">
        <x:v>生成式 AI／敘事／錄音／簡報／TTS／影音</x:v>
      </x:c>
      <x:c r="G40" s="40" t="str">
        <x:v>刪除贅詞、保留語氣、分段、補標題與查核資訊</x:v>
      </x:c>
      <x:c r="H40" s="40" t="str">
        <x:v>00–10 任務開場：把口語整理成能讀的文字稿
10–25 概念示範：刪除贅詞、保留語氣、分段、補標題與查核資訊
25–65 父子共同實作：將 3 分鐘父子對話整理為 400 字科普文
65–75 休息／走動／聊天
75–105 孩子獨立改造：增加一個自選規則或功能
105–115 角色互換：孩子教爸爸操作與原理
115–120 錄音總結、作品命名、版本存檔</x:v>
      </x:c>
      <x:c r="I40" s="40" t="str">
        <x:v>將 3 分鐘父子對話整理為 400 字科普文</x:v>
      </x:c>
      <x:c r="J40" s="40" t="str">
        <x:v>家庭投票</x:v>
      </x:c>
      <x:c r="K40" s="40" t="str">
        <x:v>可發布文字稿</x:v>
      </x:c>
      <x:c r="L40" s="40" t="str">
        <x:v>媒體表達</x:v>
      </x:c>
      <x:c r="M40" s="40" t="str">
        <x:v>確認錄音、簡報、剪輯與 TTS 工具；所有發布由家長最終審核。</x:v>
      </x:c>
      <x:c r="N40" s="40" t="str">
        <x:v>15–30 分鐘自由改造；寫三句學習日誌：我做了什麼、哪裡卡住、下次想加什麼。</x:v>
      </x:c>
      <x:c r="O40" s="40" t="str">
        <x:v>完成「可發布文字稿」；能不用看稿說出核心原理；能指出至少一個錯誤、限制或安全注意事項。</x:v>
      </x:c>
      <x:c r="P40" s="40" t="str">
        <x:v>R21</x:v>
      </x:c>
      <x:c r="Q40" s="40" t="str">
        <x:v>https://academy.openai.com/public/clubs/work-users-ynjqu/resources/prompting</x:v>
      </x:c>
      <x:c r="R40" s="40" t="str">
        <x:v>請孩子回答：1. 把口語整理成能讀的文字稿在解決什麼？2. 我怎麼做？3. 哪裡容易錯？4. 生活中哪裡會用到？</x:v>
      </x:c>
      <x:c r="S40" s="40" t="str">
        <x:v>父子科技課 #039｜把口語整理成能讀的文字稿</x:v>
      </x:c>
      <x:c r="T40" s="40" t="n">
        <x:v>1</x:v>
      </x:c>
      <x:c r="U40" s="38" t="str">
        <x:v>把口語整理成能讀的文字稿 AI literacy media creation YouTube beginner tutorial Day</x:v>
      </x:c>
      <x:c r="V40" s="38" t="str">
        <x:v>https://www.youtube.com/results?search_query=%E6%8A%8A%E5%8F%A3%E8%AA%9E%E6%95%B4%E7%90%86%E6%88%90%E8%83%BD%E8%AE%80%E7%9A%84%E6%96%87%E5%AD%97%E7%A8%BF+AI+literacy+media+creation+YouTube+beginner+tutorial+Day</x:v>
      </x:c>
      <x:c r="W40" s="38" t="str">
        <x:v>課前暖身</x:v>
      </x:c>
      <x:c r="X40" s="38" t="str">
        <x:v>把口語整理成能讀的文字稿 刪除贅詞、保留語氣、分段、補標題與查核資訊 hands on project for kids AI literacy media creation YouTube</x:v>
      </x:c>
      <x:c r="Y40" s="38" t="str">
        <x:v>https://www.youtube.com/results?search_query=%E6%8A%8A%E5%8F%A3%E8%AA%9E%E6%95%B4%E7%90%86%E6%88%90%E8%83%BD%E8%AE%80%E7%9A%84%E6%96%87%E5%AD%97%E7%A8%BF+%E5%88%AA%E9%99%A4%E8%B4%85%E8%A9%9E%E3%80%81%E4%BF%9D%E7%95%99%E8%AA%9E%E6%B0%A3%E3%80%81%E5%88%86%E6%AE%B5%E3%80%81%E8%A3%9C%E6%A8%99%E9%A1%8C%E8%88%87%E6%9F%A5%E6%A0%B8%E8%B3%87%E8%A8%8A+hands+on+project+for+kids+AI+literacy+media+creation+YouTube</x:v>
      </x:c>
      <x:c r="Z40" s="38" t="str">
        <x:v>課中實作參考</x:v>
      </x:c>
      <x:c r="AA40" s="38" t="str">
        <x:v>把口語整理成能讀的文字稿 中文 教學 原理 安全 親子 AI literacy media creation YouTube</x:v>
      </x:c>
      <x:c r="AB40" s="38" t="str">
        <x:v>https://www.youtube.com/results?search_query=%E6%8A%8A%E5%8F%A3%E8%AA%9E%E6%95%B4%E7%90%86%E6%88%90%E8%83%BD%E8%AE%80%E7%9A%84%E6%96%87%E5%AD%97%E7%A8%BF+%E4%B8%AD%E6%96%87+%E6%95%99%E5%AD%B8+%E5%8E%9F%E7%90%86+%E5%AE%89%E5%85%A8+%E8%A6%AA%E5%AD%90+AI+literacy+media+creation+YouTube</x:v>
      </x:c>
      <x:c r="AC40" s="38" t="str">
        <x:v>課後延伸／親子討論</x:v>
      </x:c>
    </x:row>
    <x:row r="41" ht="105" customHeight="1">
      <x:c r="A41" s="40" t="n">
        <x:v>40</x:v>
      </x:c>
      <x:c r="B41" s="40" t="str">
        <x:v>第 1 年</x:v>
      </x:c>
      <x:c r="C41" s="40" t="str">
        <x:v>M03 AI 創作與 YouTube 媒體工坊</x:v>
      </x:c>
      <x:c r="D41" s="40" t="n">
        <x:v>8</x:v>
      </x:c>
      <x:c r="E41" s="40" t="str">
        <x:v>簡報不是逐字稿：一頁只講一件事</x:v>
      </x:c>
      <x:c r="F41" s="40" t="str">
        <x:v>生成式 AI／敘事／錄音／簡報／TTS／影音</x:v>
      </x:c>
      <x:c r="G41" s="40" t="str">
        <x:v>建立開場、問題、解釋、例子、結論的故事線</x:v>
      </x:c>
      <x:c r="H41" s="40" t="str">
        <x:v>00–10 任務開場：簡報不是逐字稿：一頁只講一件事
10–25 概念示範：建立開場、問題、解釋、例子、結論的故事線
25–65 父子共同實作：把文字稿切成 6 張投影片，每張只留一個核心訊息
65–75 休息／走動／聊天
75–105 孩子獨立改造：增加一個自選規則或功能
105–115 角色互換：孩子教爸爸操作與原理
115–120 錄音總結、作品命名、版本存檔</x:v>
      </x:c>
      <x:c r="I41" s="40" t="str">
        <x:v>把文字稿切成 6 張投影片，每張只留一個核心訊息</x:v>
      </x:c>
      <x:c r="J41" s="40" t="str">
        <x:v>首映會</x:v>
      </x:c>
      <x:c r="K41" s="40" t="str">
        <x:v>6 頁簡報線框</x:v>
      </x:c>
      <x:c r="L41" s="40" t="str">
        <x:v>媒體表達</x:v>
      </x:c>
      <x:c r="M41" s="40" t="str">
        <x:v>確認錄音、簡報、剪輯與 TTS 工具；所有發布由家長最終審核。</x:v>
      </x:c>
      <x:c r="N41" s="40" t="str">
        <x:v>15–30 分鐘自由改造；寫三句學習日誌：我做了什麼、哪裡卡住、下次想加什麼。</x:v>
      </x:c>
      <x:c r="O41" s="40" t="str">
        <x:v>完成「6 頁簡報線框」；能不用看稿說出核心原理；能指出至少一個錯誤、限制或安全注意事項。</x:v>
      </x:c>
      <x:c r="P41" s="40" t="str">
        <x:v>R21</x:v>
      </x:c>
      <x:c r="Q41" s="40" t="str">
        <x:v>https://academy.openai.com/public/clubs/work-users-ynjqu/resources/prompting</x:v>
      </x:c>
      <x:c r="R41" s="40" t="str">
        <x:v>請孩子回答：1. 簡報不是逐字稿：一頁只講一件事在解決什麼？2. 我怎麼做？3. 哪裡容易錯？4. 生活中哪裡會用到？</x:v>
      </x:c>
      <x:c r="S41" s="40" t="str">
        <x:v>父子科技課 #040｜簡報不是逐字稿：一頁只講一件事</x:v>
      </x:c>
      <x:c r="T41" s="40" t="n">
        <x:v>1</x:v>
      </x:c>
      <x:c r="U41" s="38" t="str">
        <x:v>簡報不是逐字稿 一頁只講一件事 AI literacy media creation YouTube beginner tutorial Day</x:v>
      </x:c>
      <x:c r="V41" s="38" t="str">
        <x:v>https://www.youtube.com/results?search_query=%E7%B0%A1%E5%A0%B1%E4%B8%8D%E6%98%AF%E9%80%90%E5%AD%97%E7%A8%BF+%E4%B8%80%E9%A0%81%E5%8F%AA%E8%AC%9B%E4%B8%80%E4%BB%B6%E4%BA%8B+AI+literacy+media+creation+YouTube+beginner+tutorial+Day</x:v>
      </x:c>
      <x:c r="W41" s="38" t="str">
        <x:v>課前暖身</x:v>
      </x:c>
      <x:c r="X41" s="38" t="str">
        <x:v>簡報不是逐字稿 一頁只講一件事 建立開場、問題、解釋、例子、結論的故事線 hands on project for kids AI literacy media creation YouTube</x:v>
      </x:c>
      <x:c r="Y41" s="38" t="str">
        <x:v>https://www.youtube.com/results?search_query=%E7%B0%A1%E5%A0%B1%E4%B8%8D%E6%98%AF%E9%80%90%E5%AD%97%E7%A8%BF+%E4%B8%80%E9%A0%81%E5%8F%AA%E8%AC%9B%E4%B8%80%E4%BB%B6%E4%BA%8B+%E5%BB%BA%E7%AB%8B%E9%96%8B%E5%A0%B4%E3%80%81%E5%95%8F%E9%A1%8C%E3%80%81%E8%A7%A3%E9%87%8B%E3%80%81%E4%BE%8B%E5%AD%90%E3%80%81%E7%B5%90%E8%AB%96%E7%9A%84%E6%95%85%E4%BA%8B%E7%B7%9A+hands+on+project+for+kids+AI+literacy+media+creation+YouTube</x:v>
      </x:c>
      <x:c r="Z41" s="38" t="str">
        <x:v>課中實作參考</x:v>
      </x:c>
      <x:c r="AA41" s="38" t="str">
        <x:v>簡報不是逐字稿 一頁只講一件事 中文 教學 原理 安全 親子 AI literacy media creation YouTube</x:v>
      </x:c>
      <x:c r="AB41" s="38" t="str">
        <x:v>https://www.youtube.com/results?search_query=%E7%B0%A1%E5%A0%B1%E4%B8%8D%E6%98%AF%E9%80%90%E5%AD%97%E7%A8%BF+%E4%B8%80%E9%A0%81%E5%8F%AA%E8%AC%9B%E4%B8%80%E4%BB%B6%E4%BA%8B+%E4%B8%AD%E6%96%87+%E6%95%99%E5%AD%B8+%E5%8E%9F%E7%90%86+%E5%AE%89%E5%85%A8+%E8%A6%AA%E5%AD%90+AI+literacy+media+creation+YouTube</x:v>
      </x:c>
      <x:c r="AC41" s="38" t="str">
        <x:v>課後延伸／親子討論</x:v>
      </x:c>
    </x:row>
    <x:row r="42" ht="105" customHeight="1">
      <x:c r="A42" s="40" t="n">
        <x:v>41</x:v>
      </x:c>
      <x:c r="B42" s="40" t="str">
        <x:v>第 1 年</x:v>
      </x:c>
      <x:c r="C42" s="40" t="str">
        <x:v>M03 AI 創作與 YouTube 媒體工坊</x:v>
      </x:c>
      <x:c r="D42" s="40" t="n">
        <x:v>9</x:v>
      </x:c>
      <x:c r="E42" s="40" t="str">
        <x:v>PPT 視覺：字體、對齊、留白與圖解</x:v>
      </x:c>
      <x:c r="F42" s="40" t="str">
        <x:v>生成式 AI／敘事／錄音／簡報／TTS／影音</x:v>
      </x:c>
      <x:c r="G42" s="40" t="str">
        <x:v>用一致版型與視覺層級提升理解</x:v>
      </x:c>
      <x:c r="H42" s="40" t="str">
        <x:v>00–10 任務開場：PPT 視覺：字體、對齊、留白與圖解
10–25 概念示範：用一致版型與視覺層級提升理解
25–65 父子共同實作：重做一張故意很亂的投影片，進行前後對照
65–75 休息／走動／聊天
75–105 孩子獨立改造：增加一個自選規則或功能
105–115 角色互換：孩子教爸爸操作與原理
115–120 錄音總結、作品命名、版本存檔</x:v>
      </x:c>
      <x:c r="I42" s="40" t="str">
        <x:v>重做一張故意很亂的投影片，進行前後對照</x:v>
      </x:c>
      <x:c r="J42" s="40" t="str">
        <x:v>盲測</x:v>
      </x:c>
      <x:c r="K42" s="40" t="str">
        <x:v>科技課簡報模板 v1</x:v>
      </x:c>
      <x:c r="L42" s="40" t="str">
        <x:v>媒體表達</x:v>
      </x:c>
      <x:c r="M42" s="40" t="str">
        <x:v>確認錄音、簡報、剪輯與 TTS 工具；所有發布由家長最終審核。</x:v>
      </x:c>
      <x:c r="N42" s="40" t="str">
        <x:v>15–30 分鐘自由改造；寫三句學習日誌：我做了什麼、哪裡卡住、下次想加什麼。</x:v>
      </x:c>
      <x:c r="O42" s="40" t="str">
        <x:v>完成「科技課簡報模板 v1」；能不用看稿說出核心原理；能指出至少一個錯誤、限制或安全注意事項。</x:v>
      </x:c>
      <x:c r="P42" s="40" t="str">
        <x:v>R26</x:v>
      </x:c>
      <x:c r="Q42" s="40" t="str">
        <x:v>https://creatoracademy.youtube.com/page/lesson/copyright-guidelines</x:v>
      </x:c>
      <x:c r="R42" s="40" t="str">
        <x:v>請孩子回答：1. PPT 視覺：字體、對齊、留白與圖解在解決什麼？2. 我怎麼做？3. 哪裡容易錯？4. 生活中哪裡會用到？</x:v>
      </x:c>
      <x:c r="S42" s="40" t="str">
        <x:v>父子科技課 #041｜PPT 視覺：字體、對齊、留白與圖解</x:v>
      </x:c>
      <x:c r="T42" s="40" t="n">
        <x:v>2</x:v>
      </x:c>
      <x:c r="U42" s="38" t="str">
        <x:v>PPT 視覺 字體、對齊、留白與圖解 AI literacy media creation YouTube beginner tutorial Day</x:v>
      </x:c>
      <x:c r="V42" s="38" t="str">
        <x:v>https://www.youtube.com/results?search_query=PPT+%E8%A6%96%E8%A6%BA+%E5%AD%97%E9%AB%94%E3%80%81%E5%B0%8D%E9%BD%8A%E3%80%81%E7%95%99%E7%99%BD%E8%88%87%E5%9C%96%E8%A7%A3+AI+literacy+media+creation+YouTube+beginner+tutorial+Day</x:v>
      </x:c>
      <x:c r="W42" s="38" t="str">
        <x:v>課前暖身</x:v>
      </x:c>
      <x:c r="X42" s="38" t="str">
        <x:v>PPT 視覺 字體、對齊、留白與圖解 用一致版型與視覺層級提升理解 hands on project for kids AI literacy media creation YouTube</x:v>
      </x:c>
      <x:c r="Y42" s="38" t="str">
        <x:v>https://www.youtube.com/results?search_query=PPT+%E8%A6%96%E8%A6%BA+%E5%AD%97%E9%AB%94%E3%80%81%E5%B0%8D%E9%BD%8A%E3%80%81%E7%95%99%E7%99%BD%E8%88%87%E5%9C%96%E8%A7%A3+%E7%94%A8%E4%B8%80%E8%87%B4%E7%89%88%E5%9E%8B%E8%88%87%E8%A6%96%E8%A6%BA%E5%B1%A4%E7%B4%9A%E6%8F%90%E5%8D%87%E7%90%86%E8%A7%A3+hands+on+project+for+kids+AI+literacy+media+creation+YouTube</x:v>
      </x:c>
      <x:c r="Z42" s="38" t="str">
        <x:v>課中實作參考</x:v>
      </x:c>
      <x:c r="AA42" s="38" t="str">
        <x:v>PPT 視覺 字體、對齊、留白與圖解 中文 教學 原理 安全 親子 AI literacy media creation YouTube</x:v>
      </x:c>
      <x:c r="AB42" s="38" t="str">
        <x:v>https://www.youtube.com/results?search_query=PPT+%E8%A6%96%E8%A6%BA+%E5%AD%97%E9%AB%94%E3%80%81%E5%B0%8D%E9%BD%8A%E3%80%81%E7%95%99%E7%99%BD%E8%88%87%E5%9C%96%E8%A7%A3+%E4%B8%AD%E6%96%87+%E6%95%99%E5%AD%B8+%E5%8E%9F%E7%90%86+%E5%AE%89%E5%85%A8+%E8%A6%AA%E5%AD%90+AI+literacy+media+creation+YouTube</x:v>
      </x:c>
      <x:c r="AC42" s="38" t="str">
        <x:v>課後延伸／親子討論</x:v>
      </x:c>
    </x:row>
    <x:row r="43" ht="105" customHeight="1">
      <x:c r="A43" s="40" t="n">
        <x:v>42</x:v>
      </x:c>
      <x:c r="B43" s="40" t="str">
        <x:v>第 1 年</x:v>
      </x:c>
      <x:c r="C43" s="40" t="str">
        <x:v>M03 AI 創作與 YouTube 媒體工坊</x:v>
      </x:c>
      <x:c r="D43" s="40" t="n">
        <x:v>10</x:v>
      </x:c>
      <x:c r="E43" s="40" t="str">
        <x:v>TTS 配音：自然、停頓、專有名詞</x:v>
      </x:c>
      <x:c r="F43" s="40" t="str">
        <x:v>生成式 AI／敘事／錄音／簡報／TTS／影音</x:v>
      </x:c>
      <x:c r="G43" s="40" t="str">
        <x:v>把書面稿改成適合朗讀的句子並標記發音</x:v>
      </x:c>
      <x:c r="H43" s="40" t="str">
        <x:v>00–10 任務開場：TTS 配音：自然、停頓、專有名詞
10–25 概念示範：把書面稿改成適合朗讀的句子並標記發音
25–65 父子共同實作：製作兩種語氣的旁白，讓家人盲選較自然版本
65–75 休息／走動／聊天
75–105 孩子獨立改造：增加一個自選規則或功能
105–115 角色互換：孩子教爸爸操作與原理
115–120 錄音總結、作品命名、版本存檔</x:v>
      </x:c>
      <x:c r="I43" s="40" t="str">
        <x:v>製作兩種語氣的旁白，讓家人盲選較自然版本</x:v>
      </x:c>
      <x:c r="J43" s="40" t="str">
        <x:v>導演模式</x:v>
      </x:c>
      <x:c r="K43" s="40" t="str">
        <x:v>60 秒 TTS 成品</x:v>
      </x:c>
      <x:c r="L43" s="40" t="str">
        <x:v>媒體表達</x:v>
      </x:c>
      <x:c r="M43" s="40" t="str">
        <x:v>確認錄音、簡報、剪輯與 TTS 工具；所有發布由家長最終審核。</x:v>
      </x:c>
      <x:c r="N43" s="40" t="str">
        <x:v>15–30 分鐘自由改造；寫三句學習日誌：我做了什麼、哪裡卡住、下次想加什麼。</x:v>
      </x:c>
      <x:c r="O43" s="40" t="str">
        <x:v>完成「60 秒 TTS 成品」；能不用看稿說出核心原理；能指出至少一個錯誤、限制或安全注意事項。</x:v>
      </x:c>
      <x:c r="P43" s="40" t="str">
        <x:v>R20</x:v>
      </x:c>
      <x:c r="Q43" s="40" t="str">
        <x:v>https://academy.openai.com/</x:v>
      </x:c>
      <x:c r="R43" s="40" t="str">
        <x:v>請孩子回答：1. TTS 配音：自然、停頓、專有名詞在解決什麼？2. 我怎麼做？3. 哪裡容易錯？4. 生活中哪裡會用到？</x:v>
      </x:c>
      <x:c r="S43" s="40" t="str">
        <x:v>父子科技課 #042｜TTS 配音：自然、停頓、專有名詞</x:v>
      </x:c>
      <x:c r="T43" s="40" t="n">
        <x:v>2</x:v>
      </x:c>
      <x:c r="U43" s="38" t="str">
        <x:v>TTS 配音 自然、停頓、專有名詞 AI literacy media creation YouTube beginner tutorial Day</x:v>
      </x:c>
      <x:c r="V43" s="38" t="str">
        <x:v>https://www.youtube.com/results?search_query=TTS+%E9%85%8D%E9%9F%B3+%E8%87%AA%E7%84%B6%E3%80%81%E5%81%9C%E9%A0%93%E3%80%81%E5%B0%88%E6%9C%89%E5%90%8D%E8%A9%9E+AI+literacy+media+creation+YouTube+beginner+tutorial+Day</x:v>
      </x:c>
      <x:c r="W43" s="38" t="str">
        <x:v>課前暖身</x:v>
      </x:c>
      <x:c r="X43" s="38" t="str">
        <x:v>TTS 配音 自然、停頓、專有名詞 把書面稿改成適合朗讀的句子並標記發音 hands on project for kids AI literacy media creation YouTube</x:v>
      </x:c>
      <x:c r="Y43" s="38" t="str">
        <x:v>https://www.youtube.com/results?search_query=TTS+%E9%85%8D%E9%9F%B3+%E8%87%AA%E7%84%B6%E3%80%81%E5%81%9C%E9%A0%93%E3%80%81%E5%B0%88%E6%9C%89%E5%90%8D%E8%A9%9E+%E6%8A%8A%E6%9B%B8%E9%9D%A2%E7%A8%BF%E6%94%B9%E6%88%90%E9%81%A9%E5%90%88%E6%9C%97%E8%AE%80%E7%9A%84%E5%8F%A5%E5%AD%90%E4%B8%A6%E6%A8%99%E8%A8%98%E7%99%BC%E9%9F%B3+hands+on+project+for+kids+AI+literacy+media+creation+YouTube</x:v>
      </x:c>
      <x:c r="Z43" s="38" t="str">
        <x:v>課中實作參考</x:v>
      </x:c>
      <x:c r="AA43" s="38" t="str">
        <x:v>TTS 配音 自然、停頓、專有名詞 中文 教學 原理 安全 親子 AI literacy media creation YouTube</x:v>
      </x:c>
      <x:c r="AB43" s="38" t="str">
        <x:v>https://www.youtube.com/results?search_query=TTS+%E9%85%8D%E9%9F%B3+%E8%87%AA%E7%84%B6%E3%80%81%E5%81%9C%E9%A0%93%E3%80%81%E5%B0%88%E6%9C%89%E5%90%8D%E8%A9%9E+%E4%B8%AD%E6%96%87+%E6%95%99%E5%AD%B8+%E5%8E%9F%E7%90%86+%E5%AE%89%E5%85%A8+%E8%A6%AA%E5%AD%90+AI+literacy+media+creation+YouTube</x:v>
      </x:c>
      <x:c r="AC43" s="38" t="str">
        <x:v>課後延伸／親子討論</x:v>
      </x:c>
    </x:row>
    <x:row r="44" ht="105" customHeight="1">
      <x:c r="A44" s="40" t="n">
        <x:v>43</x:v>
      </x:c>
      <x:c r="B44" s="40" t="str">
        <x:v>第 1 年</x:v>
      </x:c>
      <x:c r="C44" s="40" t="str">
        <x:v>M03 AI 創作與 YouTube 媒體工坊</x:v>
      </x:c>
      <x:c r="D44" s="40" t="n">
        <x:v>11</x:v>
      </x:c>
      <x:c r="E44" s="40" t="str">
        <x:v>剪輯節奏：畫面為什麼要換</x:v>
      </x:c>
      <x:c r="F44" s="40" t="str">
        <x:v>生成式 AI／敘事／錄音／簡報／TTS／影音</x:v>
      </x:c>
      <x:c r="G44" s="40" t="str">
        <x:v>理解 A-roll、B-roll、畫面停留、轉場與聲音優先</x:v>
      </x:c>
      <x:c r="H44" s="40" t="str">
        <x:v>00–10 任務開場：剪輯節奏：畫面為什麼要換
10–25 概念示範：理解 A-roll、B-roll、畫面停留、轉場與聲音優先
25–65 父子共同實作：把同一段素材剪成 30 秒快版與 60 秒解釋版
65–75 休息／走動／聊天
75–105 孩子獨立改造：增加一個自選規則或功能
105–115 角色互換：孩子教爸爸操作與原理
115–120 錄音總結、作品命名、版本存檔</x:v>
      </x:c>
      <x:c r="I44" s="40" t="str">
        <x:v>把同一段素材剪成 30 秒快版與 60 秒解釋版</x:v>
      </x:c>
      <x:c r="J44" s="40" t="str">
        <x:v>家庭投票</x:v>
      </x:c>
      <x:c r="K44" s="40" t="str">
        <x:v>雙版本短片</x:v>
      </x:c>
      <x:c r="L44" s="40" t="str">
        <x:v>媒體表達</x:v>
      </x:c>
      <x:c r="M44" s="40" t="str">
        <x:v>確認錄音、簡報、剪輯與 TTS 工具；所有發布由家長最終審核。</x:v>
      </x:c>
      <x:c r="N44" s="40" t="str">
        <x:v>15–30 分鐘自由改造；寫三句學習日誌：我做了什麼、哪裡卡住、下次想加什麼。</x:v>
      </x:c>
      <x:c r="O44" s="40" t="str">
        <x:v>完成「雙版本短片」；能不用看稿說出核心原理；能指出至少一個錯誤、限制或安全注意事項。</x:v>
      </x:c>
      <x:c r="P44" s="40" t="str">
        <x:v>R26</x:v>
      </x:c>
      <x:c r="Q44" s="40" t="str">
        <x:v>https://creatoracademy.youtube.com/page/lesson/copyright-guidelines</x:v>
      </x:c>
      <x:c r="R44" s="40" t="str">
        <x:v>請孩子回答：1. 剪輯節奏：畫面為什麼要換在解決什麼？2. 我怎麼做？3. 哪裡容易錯？4. 生活中哪裡會用到？</x:v>
      </x:c>
      <x:c r="S44" s="40" t="str">
        <x:v>父子科技課 #043｜剪輯節奏：畫面為什麼要換</x:v>
      </x:c>
      <x:c r="T44" s="40" t="n">
        <x:v>2</x:v>
      </x:c>
      <x:c r="U44" s="38" t="str">
        <x:v>剪輯節奏 畫面為什麼要換 AI literacy media creation YouTube beginner tutorial Day</x:v>
      </x:c>
      <x:c r="V44" s="38" t="str">
        <x:v>https://www.youtube.com/results?search_query=%E5%89%AA%E8%BC%AF%E7%AF%80%E5%A5%8F+%E7%95%AB%E9%9D%A2%E7%82%BA%E4%BB%80%E9%BA%BC%E8%A6%81%E6%8F%9B+AI+literacy+media+creation+YouTube+beginner+tutorial+Day</x:v>
      </x:c>
      <x:c r="W44" s="38" t="str">
        <x:v>課前暖身</x:v>
      </x:c>
      <x:c r="X44" s="38" t="str">
        <x:v>剪輯節奏 畫面為什麼要換 理解 A roll、B roll、畫面停留、轉場與聲音優先 hands on project for kids AI literacy media</x:v>
      </x:c>
      <x:c r="Y44" s="38" t="str">
        <x:v>https://www.youtube.com/results?search_query=%E5%89%AA%E8%BC%AF%E7%AF%80%E5%A5%8F+%E7%95%AB%E9%9D%A2%E7%82%BA%E4%BB%80%E9%BA%BC%E8%A6%81%E6%8F%9B+%E7%90%86%E8%A7%A3+A+roll%E3%80%81B+roll%E3%80%81%E7%95%AB%E9%9D%A2%E5%81%9C%E7%95%99%E3%80%81%E8%BD%89%E5%A0%B4%E8%88%87%E8%81%B2%E9%9F%B3%E5%84%AA%E5%85%88+hands+on+project+for+kids+AI+literacy+media+creation+YouTube</x:v>
      </x:c>
      <x:c r="Z44" s="38" t="str">
        <x:v>課中實作參考</x:v>
      </x:c>
      <x:c r="AA44" s="38" t="str">
        <x:v>剪輯節奏 畫面為什麼要換 中文 教學 原理 安全 親子 AI literacy media creation YouTube</x:v>
      </x:c>
      <x:c r="AB44" s="38" t="str">
        <x:v>https://www.youtube.com/results?search_query=%E5%89%AA%E8%BC%AF%E7%AF%80%E5%A5%8F+%E7%95%AB%E9%9D%A2%E7%82%BA%E4%BB%80%E9%BA%BC%E8%A6%81%E6%8F%9B+%E4%B8%AD%E6%96%87+%E6%95%99%E5%AD%B8+%E5%8E%9F%E7%90%86+%E5%AE%89%E5%85%A8+%E8%A6%AA%E5%AD%90+AI+literacy+media+creation+YouTube</x:v>
      </x:c>
      <x:c r="AC44" s="38" t="str">
        <x:v>課後延伸／親子討論</x:v>
      </x:c>
    </x:row>
    <x:row r="45" ht="105" customHeight="1">
      <x:c r="A45" s="40" t="n">
        <x:v>44</x:v>
      </x:c>
      <x:c r="B45" s="40" t="str">
        <x:v>第 1 年</x:v>
      </x:c>
      <x:c r="C45" s="40" t="str">
        <x:v>M03 AI 創作與 YouTube 媒體工坊</x:v>
      </x:c>
      <x:c r="D45" s="40" t="n">
        <x:v>12</x:v>
      </x:c>
      <x:c r="E45" s="40" t="str">
        <x:v>縮圖與標題：吸引但不欺騙</x:v>
      </x:c>
      <x:c r="F45" s="40" t="str">
        <x:v>生成式 AI／敘事／錄音／簡報／TTS／影音</x:v>
      </x:c>
      <x:c r="G45" s="40" t="str">
        <x:v>學會明確承諾、視覺焦點與避免誇張誤導</x:v>
      </x:c>
      <x:c r="H45" s="40" t="str">
        <x:v>00–10 任務開場：縮圖與標題：吸引但不欺騙
10–25 概念示範：學會明確承諾、視覺焦點與避免誇張誤導
25–65 父子共同實作：為同一影片設計三組標題縮圖並做家庭投票
65–75 休息／走動／聊天
75–105 孩子獨立改造：增加一個自選規則或功能
105–115 角色互換：孩子教爸爸操作與原理
115–120 錄音總結、作品命名、版本存檔</x:v>
      </x:c>
      <x:c r="I45" s="40" t="str">
        <x:v>為同一影片設計三組標題縮圖並做家庭投票</x:v>
      </x:c>
      <x:c r="J45" s="40" t="str">
        <x:v>首映會</x:v>
      </x:c>
      <x:c r="K45" s="40" t="str">
        <x:v>縮圖三案＋標題清單</x:v>
      </x:c>
      <x:c r="L45" s="40" t="str">
        <x:v>創意與設計</x:v>
      </x:c>
      <x:c r="M45" s="40" t="str">
        <x:v>確認錄音、簡報、剪輯與 TTS 工具；所有發布由家長最終審核。</x:v>
      </x:c>
      <x:c r="N45" s="40" t="str">
        <x:v>15–30 分鐘自由改造；寫三句學習日誌：我做了什麼、哪裡卡住、下次想加什麼。</x:v>
      </x:c>
      <x:c r="O45" s="40" t="str">
        <x:v>完成「縮圖三案＋標題清單」；能不用看稿說出核心原理；能指出至少一個錯誤、限制或安全注意事項。</x:v>
      </x:c>
      <x:c r="P45" s="40" t="str">
        <x:v>R26</x:v>
      </x:c>
      <x:c r="Q45" s="40" t="str">
        <x:v>https://creatoracademy.youtube.com/page/lesson/copyright-guidelines</x:v>
      </x:c>
      <x:c r="R45" s="40" t="str">
        <x:v>請孩子回答：1. 縮圖與標題：吸引但不欺騙在解決什麼？2. 我怎麼做？3. 哪裡容易錯？4. 生活中哪裡會用到？</x:v>
      </x:c>
      <x:c r="S45" s="40" t="str">
        <x:v>父子科技課 #044｜縮圖與標題：吸引但不欺騙</x:v>
      </x:c>
      <x:c r="T45" s="40" t="n">
        <x:v>2</x:v>
      </x:c>
      <x:c r="U45" s="38" t="str">
        <x:v>縮圖與標題 吸引但不欺騙 AI literacy media creation YouTube beginner tutorial Day</x:v>
      </x:c>
      <x:c r="V45" s="38" t="str">
        <x:v>https://www.youtube.com/results?search_query=%E7%B8%AE%E5%9C%96%E8%88%87%E6%A8%99%E9%A1%8C+%E5%90%B8%E5%BC%95%E4%BD%86%E4%B8%8D%E6%AC%BA%E9%A8%99+AI+literacy+media+creation+YouTube+beginner+tutorial+Day</x:v>
      </x:c>
      <x:c r="W45" s="38" t="str">
        <x:v>課前暖身</x:v>
      </x:c>
      <x:c r="X45" s="38" t="str">
        <x:v>縮圖與標題 吸引但不欺騙 學會明確承諾、視覺焦點與避免誇張誤導 hands on project for kids AI literacy media creation YouTube</x:v>
      </x:c>
      <x:c r="Y45" s="38" t="str">
        <x:v>https://www.youtube.com/results?search_query=%E7%B8%AE%E5%9C%96%E8%88%87%E6%A8%99%E9%A1%8C+%E5%90%B8%E5%BC%95%E4%BD%86%E4%B8%8D%E6%AC%BA%E9%A8%99+%E5%AD%B8%E6%9C%83%E6%98%8E%E7%A2%BA%E6%89%BF%E8%AB%BE%E3%80%81%E8%A6%96%E8%A6%BA%E7%84%A6%E9%BB%9E%E8%88%87%E9%81%BF%E5%85%8D%E8%AA%87%E5%BC%B5%E8%AA%A4%E5%B0%8E+hands+on+project+for+kids+AI+literacy+media+creation+YouTube</x:v>
      </x:c>
      <x:c r="Z45" s="38" t="str">
        <x:v>課中實作參考</x:v>
      </x:c>
      <x:c r="AA45" s="38" t="str">
        <x:v>縮圖與標題 吸引但不欺騙 中文 教學 原理 安全 親子 AI literacy media creation YouTube</x:v>
      </x:c>
      <x:c r="AB45" s="38" t="str">
        <x:v>https://www.youtube.com/results?search_query=%E7%B8%AE%E5%9C%96%E8%88%87%E6%A8%99%E9%A1%8C+%E5%90%B8%E5%BC%95%E4%BD%86%E4%B8%8D%E6%AC%BA%E9%A8%99+%E4%B8%AD%E6%96%87+%E6%95%99%E5%AD%B8+%E5%8E%9F%E7%90%86+%E5%AE%89%E5%85%A8+%E8%A6%AA%E5%AD%90+AI+literacy+media+creation+YouTube</x:v>
      </x:c>
      <x:c r="AC45" s="38" t="str">
        <x:v>課後延伸／親子討論</x:v>
      </x:c>
    </x:row>
    <x:row r="46" ht="105" customHeight="1">
      <x:c r="A46" s="40" t="n">
        <x:v>45</x:v>
      </x:c>
      <x:c r="B46" s="40" t="str">
        <x:v>第 1 年</x:v>
      </x:c>
      <x:c r="C46" s="40" t="str">
        <x:v>M03 AI 創作與 YouTube 媒體工坊</x:v>
      </x:c>
      <x:c r="D46" s="40" t="n">
        <x:v>13</x:v>
      </x:c>
      <x:c r="E46" s="40" t="str">
        <x:v>兒童頻道的安全與隱私</x:v>
      </x:c>
      <x:c r="F46" s="40" t="str">
        <x:v>生成式 AI／敘事／錄音／簡報／TTS／影音</x:v>
      </x:c>
      <x:c r="G46" s="40" t="str">
        <x:v>建立不露個資、位置、學校、帳號與未授權人像的規範</x:v>
      </x:c>
      <x:c r="H46" s="40" t="str">
        <x:v>00–10 任務開場：兒童頻道的安全與隱私
10–25 概念示範：建立不露個資、位置、學校、帳號與未授權人像的規範
25–65 父子共同實作：逐格檢查一段模擬影片，找出所有可識別資訊
65–75 休息／走動／聊天
75–105 孩子獨立改造：增加一個自選規則或功能
105–115 角色互換：孩子教爸爸操作與原理
115–120 錄音總結、作品命名、版本存檔</x:v>
      </x:c>
      <x:c r="I46" s="40" t="str">
        <x:v>逐格檢查一段模擬影片，找出所有可識別資訊</x:v>
      </x:c>
      <x:c r="J46" s="40" t="str">
        <x:v>盲測</x:v>
      </x:c>
      <x:c r="K46" s="40" t="str">
        <x:v>發布前安全清單</x:v>
      </x:c>
      <x:c r="L46" s="40" t="str">
        <x:v>安全</x:v>
      </x:c>
      <x:c r="M46" s="40" t="str">
        <x:v>確認錄音、簡報、剪輯與 TTS 工具；所有發布由家長最終審核。</x:v>
      </x:c>
      <x:c r="N46" s="40" t="str">
        <x:v>15–30 分鐘自由改造；寫三句學習日誌：我做了什麼、哪裡卡住、下次想加什麼。</x:v>
      </x:c>
      <x:c r="O46" s="40" t="str">
        <x:v>完成「發布前安全清單」；能不用看稿說出核心原理；能指出至少一個錯誤、限制或安全注意事項。</x:v>
      </x:c>
      <x:c r="P46" s="40" t="str">
        <x:v>R23,R26</x:v>
      </x:c>
      <x:c r="Q46" s="40" t="str">
        <x:v>https://consumer.ftc.gov/identity-theft-and-online-security/online-privacy-and-security</x:v>
      </x:c>
      <x:c r="R46" s="40" t="str">
        <x:v>請孩子回答：1. 兒童頻道的安全與隱私在解決什麼？2. 我怎麼做？3. 哪裡容易錯？4. 生活中哪裡會用到？</x:v>
      </x:c>
      <x:c r="S46" s="40" t="str">
        <x:v>父子科技課 #045｜兒童頻道的安全與隱私</x:v>
      </x:c>
      <x:c r="T46" s="40" t="n">
        <x:v>2</x:v>
      </x:c>
      <x:c r="U46" s="38" t="str">
        <x:v>兒童頻道的安全與隱私 AI literacy media creation YouTube beginner tutorial Day</x:v>
      </x:c>
      <x:c r="V46" s="38" t="str">
        <x:v>https://www.youtube.com/results?search_query=%E5%85%92%E7%AB%A5%E9%A0%BB%E9%81%93%E7%9A%84%E5%AE%89%E5%85%A8%E8%88%87%E9%9A%B1%E7%A7%81+AI+literacy+media+creation+YouTube+beginner+tutorial+Day</x:v>
      </x:c>
      <x:c r="W46" s="38" t="str">
        <x:v>課前暖身</x:v>
      </x:c>
      <x:c r="X46" s="38" t="str">
        <x:v>兒童頻道的安全與隱私 建立不露個資、位置、學校、帳號與未授權人像的規範 hands on project for kids AI literacy media creation YouTube</x:v>
      </x:c>
      <x:c r="Y46" s="38" t="str">
        <x:v>https://www.youtube.com/results?search_query=%E5%85%92%E7%AB%A5%E9%A0%BB%E9%81%93%E7%9A%84%E5%AE%89%E5%85%A8%E8%88%87%E9%9A%B1%E7%A7%81+%E5%BB%BA%E7%AB%8B%E4%B8%8D%E9%9C%B2%E5%80%8B%E8%B3%87%E3%80%81%E4%BD%8D%E7%BD%AE%E3%80%81%E5%AD%B8%E6%A0%A1%E3%80%81%E5%B8%B3%E8%99%9F%E8%88%87%E6%9C%AA%E6%8E%88%E6%AC%8A%E4%BA%BA%E5%83%8F%E7%9A%84%E8%A6%8F%E7%AF%84+hands+on+project+for+kids+AI+literacy+media+creation+YouTube</x:v>
      </x:c>
      <x:c r="Z46" s="38" t="str">
        <x:v>課中實作參考</x:v>
      </x:c>
      <x:c r="AA46" s="38" t="str">
        <x:v>兒童頻道的安全與隱私 中文 教學 原理 安全 親子 AI literacy media creation YouTube</x:v>
      </x:c>
      <x:c r="AB46" s="38" t="str">
        <x:v>https://www.youtube.com/results?search_query=%E5%85%92%E7%AB%A5%E9%A0%BB%E9%81%93%E7%9A%84%E5%AE%89%E5%85%A8%E8%88%87%E9%9A%B1%E7%A7%81+%E4%B8%AD%E6%96%87+%E6%95%99%E5%AD%B8+%E5%8E%9F%E7%90%86+%E5%AE%89%E5%85%A8+%E8%A6%AA%E5%AD%90+AI+literacy+media+creation+YouTube</x:v>
      </x:c>
      <x:c r="AC46" s="38" t="str">
        <x:v>課後延伸／親子討論</x:v>
      </x:c>
    </x:row>
    <x:row r="47" ht="105" customHeight="1">
      <x:c r="A47" s="40" t="n">
        <x:v>46</x:v>
      </x:c>
      <x:c r="B47" s="40" t="str">
        <x:v>第 1 年</x:v>
      </x:c>
      <x:c r="C47" s="40" t="str">
        <x:v>M03 AI 創作與 YouTube 媒體工坊</x:v>
      </x:c>
      <x:c r="D47" s="40" t="n">
        <x:v>14</x:v>
      </x:c>
      <x:c r="E47" s="40" t="str">
        <x:v>一分鐘科普片：為什麼電池會沒電</x:v>
      </x:c>
      <x:c r="F47" s="40" t="str">
        <x:v>生成式 AI／敘事／錄音／簡報／TTS／影音</x:v>
      </x:c>
      <x:c r="G47" s="40" t="str">
        <x:v>把複雜概念轉成適合一般人的短解釋</x:v>
      </x:c>
      <x:c r="H47" s="40" t="str">
        <x:v>00–10 任務開場：一分鐘科普片：為什麼電池會沒電
10–25 概念示範：把複雜概念轉成適合一般人的短解釋
25–65 父子共同實作：用比喻、示意圖與一個生活實驗完成腳本與錄音
65–75 休息／走動／聊天
75–105 孩子獨立改造：增加一個自選規則或功能
105–115 角色互換：孩子教爸爸操作與原理
115–120 錄音總結、作品命名、版本存檔</x:v>
      </x:c>
      <x:c r="I47" s="40" t="str">
        <x:v>用比喻、示意圖與一個生活實驗完成腳本與錄音</x:v>
      </x:c>
      <x:c r="J47" s="40" t="str">
        <x:v>導演模式</x:v>
      </x:c>
      <x:c r="K47" s="40" t="str">
        <x:v>1 分鐘科普短片</x:v>
      </x:c>
      <x:c r="L47" s="40" t="str">
        <x:v>媒體表達</x:v>
      </x:c>
      <x:c r="M47" s="40" t="str">
        <x:v>確認錄音、簡報、剪輯與 TTS 工具；所有發布由家長最終審核。</x:v>
      </x:c>
      <x:c r="N47" s="40" t="str">
        <x:v>15–30 分鐘自由改造；寫三句學習日誌：我做了什麼、哪裡卡住、下次想加什麼。</x:v>
      </x:c>
      <x:c r="O47" s="40" t="str">
        <x:v>完成「1 分鐘科普短片」；能不用看稿說出核心原理；能指出至少一個錯誤、限制或安全注意事項。</x:v>
      </x:c>
      <x:c r="P47" s="40" t="str">
        <x:v>R20</x:v>
      </x:c>
      <x:c r="Q47" s="40" t="str">
        <x:v>https://academy.openai.com/</x:v>
      </x:c>
      <x:c r="R47" s="40" t="str">
        <x:v>請孩子回答：1. 一分鐘科普片：為什麼電池會沒電在解決什麼？2. 我怎麼做？3. 哪裡容易錯？4. 生活中哪裡會用到？</x:v>
      </x:c>
      <x:c r="S47" s="40" t="str">
        <x:v>父子科技課 #046｜一分鐘科普片：為什麼電池會沒電</x:v>
      </x:c>
      <x:c r="T47" s="40" t="n">
        <x:v>2</x:v>
      </x:c>
      <x:c r="U47" s="38" t="str">
        <x:v>一分鐘科普片 為什麼電池會沒電 AI literacy media creation YouTube beginner tutorial Day</x:v>
      </x:c>
      <x:c r="V47" s="38" t="str">
        <x:v>https://www.youtube.com/results?search_query=%E4%B8%80%E5%88%86%E9%90%98%E7%A7%91%E6%99%AE%E7%89%87+%E7%82%BA%E4%BB%80%E9%BA%BC%E9%9B%BB%E6%B1%A0%E6%9C%83%E6%B2%92%E9%9B%BB+AI+literacy+media+creation+YouTube+beginner+tutorial+Day</x:v>
      </x:c>
      <x:c r="W47" s="38" t="str">
        <x:v>課前暖身</x:v>
      </x:c>
      <x:c r="X47" s="38" t="str">
        <x:v>一分鐘科普片 為什麼電池會沒電 把複雜概念轉成適合一般人的短解釋 hands on project for kids AI literacy media creation YouTube</x:v>
      </x:c>
      <x:c r="Y47" s="38" t="str">
        <x:v>https://www.youtube.com/results?search_query=%E4%B8%80%E5%88%86%E9%90%98%E7%A7%91%E6%99%AE%E7%89%87+%E7%82%BA%E4%BB%80%E9%BA%BC%E9%9B%BB%E6%B1%A0%E6%9C%83%E6%B2%92%E9%9B%BB+%E6%8A%8A%E8%A4%87%E9%9B%9C%E6%A6%82%E5%BF%B5%E8%BD%89%E6%88%90%E9%81%A9%E5%90%88%E4%B8%80%E8%88%AC%E4%BA%BA%E7%9A%84%E7%9F%AD%E8%A7%A3%E9%87%8B+hands+on+project+for+kids+AI+literacy+media+creation+YouTube</x:v>
      </x:c>
      <x:c r="Z47" s="38" t="str">
        <x:v>課中實作參考</x:v>
      </x:c>
      <x:c r="AA47" s="38" t="str">
        <x:v>一分鐘科普片 為什麼電池會沒電 中文 教學 原理 安全 親子 AI literacy media creation YouTube</x:v>
      </x:c>
      <x:c r="AB47" s="38" t="str">
        <x:v>https://www.youtube.com/results?search_query=%E4%B8%80%E5%88%86%E9%90%98%E7%A7%91%E6%99%AE%E7%89%87+%E7%82%BA%E4%BB%80%E9%BA%BC%E9%9B%BB%E6%B1%A0%E6%9C%83%E6%B2%92%E9%9B%BB+%E4%B8%AD%E6%96%87+%E6%95%99%E5%AD%B8+%E5%8E%9F%E7%90%86+%E5%AE%89%E5%85%A8+%E8%A6%AA%E5%AD%90+AI+literacy+media+creation+YouTube</x:v>
      </x:c>
      <x:c r="AC47" s="38" t="str">
        <x:v>課後延伸／親子討論</x:v>
      </x:c>
    </x:row>
    <x:row r="48" ht="105" customHeight="1">
      <x:c r="A48" s="40" t="n">
        <x:v>47</x:v>
      </x:c>
      <x:c r="B48" s="40" t="str">
        <x:v>第 1 年</x:v>
      </x:c>
      <x:c r="C48" s="40" t="str">
        <x:v>M03 AI 創作與 YouTube 媒體工坊</x:v>
      </x:c>
      <x:c r="D48" s="40" t="n">
        <x:v>15</x:v>
      </x:c>
      <x:c r="E48" s="40" t="str">
        <x:v>試播會：觀眾到底聽懂了嗎</x:v>
      </x:c>
      <x:c r="F48" s="40" t="str">
        <x:v>生成式 AI／敘事／錄音／簡報／TTS／影音</x:v>
      </x:c>
      <x:c r="G48" s="40" t="str">
        <x:v>用觀眾問題、記憶點與卡住處改善內容</x:v>
      </x:c>
      <x:c r="H48" s="40" t="str">
        <x:v>00–10 任務開場：試播會：觀眾到底聽懂了嗎
10–25 概念示範：用觀眾問題、記憶點與卡住處改善內容
25–65 父子共同實作：邀請家人觀看，影片結束後只問三個理解題
65–75 休息／走動／聊天
75–105 孩子獨立改造：增加一個自選規則或功能
105–115 角色互換：孩子教爸爸操作與原理
115–120 錄音總結、作品命名、版本存檔</x:v>
      </x:c>
      <x:c r="I48" s="40" t="str">
        <x:v>邀請家人觀看，影片結束後只問三個理解題</x:v>
      </x:c>
      <x:c r="J48" s="40" t="str">
        <x:v>家庭投票</x:v>
      </x:c>
      <x:c r="K48" s="40" t="str">
        <x:v>試播回饋＋修正版</x:v>
      </x:c>
      <x:c r="L48" s="40" t="str">
        <x:v>合作與回饋</x:v>
      </x:c>
      <x:c r="M48" s="40" t="str">
        <x:v>確認錄音、簡報、剪輯與 TTS 工具；所有發布由家長最終審核。</x:v>
      </x:c>
      <x:c r="N48" s="40" t="str">
        <x:v>15–30 分鐘自由改造；寫三句學習日誌：我做了什麼、哪裡卡住、下次想加什麼。</x:v>
      </x:c>
      <x:c r="O48" s="40" t="str">
        <x:v>完成「試播回饋＋修正版」；能不用看稿說出核心原理；能指出至少一個錯誤、限制或安全注意事項。</x:v>
      </x:c>
      <x:c r="P48" s="40" t="str">
        <x:v>R26</x:v>
      </x:c>
      <x:c r="Q48" s="40" t="str">
        <x:v>https://creatoracademy.youtube.com/page/lesson/copyright-guidelines</x:v>
      </x:c>
      <x:c r="R48" s="40" t="str">
        <x:v>請孩子回答：1. 試播會：觀眾到底聽懂了嗎在解決什麼？2. 我怎麼做？3. 哪裡容易錯？4. 生活中哪裡會用到？</x:v>
      </x:c>
      <x:c r="S48" s="40" t="str">
        <x:v>父子科技課 #047｜試播會：觀眾到底聽懂了嗎</x:v>
      </x:c>
      <x:c r="T48" s="40" t="n">
        <x:v>2</x:v>
      </x:c>
      <x:c r="U48" s="38" t="str">
        <x:v>試播會 觀眾到底聽懂了嗎 AI literacy media creation YouTube beginner tutorial Day</x:v>
      </x:c>
      <x:c r="V48" s="38" t="str">
        <x:v>https://www.youtube.com/results?search_query=%E8%A9%A6%E6%92%AD%E6%9C%83+%E8%A7%80%E7%9C%BE%E5%88%B0%E5%BA%95%E8%81%BD%E6%87%82%E4%BA%86%E5%97%8E+AI+literacy+media+creation+YouTube+beginner+tutorial+Day</x:v>
      </x:c>
      <x:c r="W48" s="38" t="str">
        <x:v>課前暖身</x:v>
      </x:c>
      <x:c r="X48" s="38" t="str">
        <x:v>試播會 觀眾到底聽懂了嗎 用觀眾問題、記憶點與卡住處改善內容 hands on project for kids AI literacy media creation YouTube</x:v>
      </x:c>
      <x:c r="Y48" s="38" t="str">
        <x:v>https://www.youtube.com/results?search_query=%E8%A9%A6%E6%92%AD%E6%9C%83+%E8%A7%80%E7%9C%BE%E5%88%B0%E5%BA%95%E8%81%BD%E6%87%82%E4%BA%86%E5%97%8E+%E7%94%A8%E8%A7%80%E7%9C%BE%E5%95%8F%E9%A1%8C%E3%80%81%E8%A8%98%E6%86%B6%E9%BB%9E%E8%88%87%E5%8D%A1%E4%BD%8F%E8%99%95%E6%94%B9%E5%96%84%E5%85%A7%E5%AE%B9+hands+on+project+for+kids+AI+literacy+media+creation+YouTube</x:v>
      </x:c>
      <x:c r="Z48" s="38" t="str">
        <x:v>課中實作參考</x:v>
      </x:c>
      <x:c r="AA48" s="38" t="str">
        <x:v>試播會 觀眾到底聽懂了嗎 中文 教學 原理 安全 親子 AI literacy media creation YouTube</x:v>
      </x:c>
      <x:c r="AB48" s="38" t="str">
        <x:v>https://www.youtube.com/results?search_query=%E8%A9%A6%E6%92%AD%E6%9C%83+%E8%A7%80%E7%9C%BE%E5%88%B0%E5%BA%95%E8%81%BD%E6%87%82%E4%BA%86%E5%97%8E+%E4%B8%AD%E6%96%87+%E6%95%99%E5%AD%B8+%E5%8E%9F%E7%90%86+%E5%AE%89%E5%85%A8+%E8%A6%AA%E5%AD%90+AI+literacy+media+creation+YouTube</x:v>
      </x:c>
      <x:c r="AC48" s="38" t="str">
        <x:v>課後延伸／親子討論</x:v>
      </x:c>
    </x:row>
    <x:row r="49" ht="105" customHeight="1">
      <x:c r="A49" s="40" t="n">
        <x:v>48</x:v>
      </x:c>
      <x:c r="B49" s="40" t="str">
        <x:v>第 1 年</x:v>
      </x:c>
      <x:c r="C49" s="40" t="str">
        <x:v>M03 AI 創作與 YouTube 媒體工坊</x:v>
      </x:c>
      <x:c r="D49" s="40" t="n">
        <x:v>16</x:v>
      </x:c>
      <x:c r="E49" s="40" t="str">
        <x:v>第一季首映與內容資產歸檔</x:v>
      </x:c>
      <x:c r="F49" s="40" t="str">
        <x:v>生成式 AI／敘事／錄音／簡報／TTS／影音</x:v>
      </x:c>
      <x:c r="G49" s="40" t="str">
        <x:v>建立可重複的命名、版本、來源與發布流程</x:v>
      </x:c>
      <x:c r="H49" s="40" t="str">
        <x:v>00–10 任務開場：第一季首映與內容資產歸檔
10–25 概念示範：建立可重複的命名、版本、來源與發布流程
25–65 父子共同實作：完成上架包：影片、縮圖、說明、章節、來源、專案封存
65–75 休息／走動／聊天
75–105 孩子獨立改造：增加一個自選規則或功能
105–115 角色互換：孩子教爸爸操作與原理
115–120 錄音總結、作品命名、版本存檔</x:v>
      </x:c>
      <x:c r="I49" s="40" t="str">
        <x:v>完成上架包：影片、縮圖、說明、章節、來源、專案封存</x:v>
      </x:c>
      <x:c r="J49" s="40" t="str">
        <x:v>首映會</x:v>
      </x:c>
      <x:c r="K49" s="40" t="str">
        <x:v>頻道第一季第 1 集＋素材包</x:v>
      </x:c>
      <x:c r="L49" s="40" t="str">
        <x:v>自主管理</x:v>
      </x:c>
      <x:c r="M49" s="40" t="str">
        <x:v>確認錄音、簡報、剪輯與 TTS 工具；所有發布由家長最終審核。</x:v>
      </x:c>
      <x:c r="N49" s="40" t="str">
        <x:v>15–30 分鐘自由改造；寫三句學習日誌：我做了什麼、哪裡卡住、下次想加什麼。</x:v>
      </x:c>
      <x:c r="O49" s="40" t="str">
        <x:v>完成「頻道第一季第 1 集＋素材包」；能不用看稿說出核心原理；能指出至少一個錯誤、限制或安全注意事項。</x:v>
      </x:c>
      <x:c r="P49" s="40" t="str">
        <x:v>R26</x:v>
      </x:c>
      <x:c r="Q49" s="40" t="str">
        <x:v>https://creatoracademy.youtube.com/page/lesson/copyright-guidelines</x:v>
      </x:c>
      <x:c r="R49" s="40" t="str">
        <x:v>請孩子回答：1. 第一季首映與內容資產歸檔在解決什麼？2. 我怎麼做？3. 哪裡容易錯？4. 生活中哪裡會用到？</x:v>
      </x:c>
      <x:c r="S49" s="40" t="str">
        <x:v>父子科技課 #048｜第一季首映與內容資產歸檔</x:v>
      </x:c>
      <x:c r="T49" s="40" t="n">
        <x:v>2</x:v>
      </x:c>
      <x:c r="U49" s="38" t="str">
        <x:v>第一季首映與內容資產歸檔 AI literacy media creation YouTube beginner tutorial Day</x:v>
      </x:c>
      <x:c r="V49" s="38" t="str">
        <x:v>https://www.youtube.com/results?search_query=%E7%AC%AC%E4%B8%80%E5%AD%A3%E9%A6%96%E6%98%A0%E8%88%87%E5%85%A7%E5%AE%B9%E8%B3%87%E7%94%A2%E6%AD%B8%E6%AA%94+AI+literacy+media+creation+YouTube+beginner+tutorial+Day</x:v>
      </x:c>
      <x:c r="W49" s="38" t="str">
        <x:v>課前暖身</x:v>
      </x:c>
      <x:c r="X49" s="38" t="str">
        <x:v>第一季首映與內容資產歸檔 建立可重複的命名、版本、來源與發布流程 hands on project for kids AI literacy media creation YouTube</x:v>
      </x:c>
      <x:c r="Y49" s="38" t="str">
        <x:v>https://www.youtube.com/results?search_query=%E7%AC%AC%E4%B8%80%E5%AD%A3%E9%A6%96%E6%98%A0%E8%88%87%E5%85%A7%E5%AE%B9%E8%B3%87%E7%94%A2%E6%AD%B8%E6%AA%94+%E5%BB%BA%E7%AB%8B%E5%8F%AF%E9%87%8D%E8%A4%87%E7%9A%84%E5%91%BD%E5%90%8D%E3%80%81%E7%89%88%E6%9C%AC%E3%80%81%E4%BE%86%E6%BA%90%E8%88%87%E7%99%BC%E5%B8%83%E6%B5%81%E7%A8%8B+hands+on+project+for+kids+AI+literacy+media+creation+YouTube</x:v>
      </x:c>
      <x:c r="Z49" s="38" t="str">
        <x:v>課中實作參考</x:v>
      </x:c>
      <x:c r="AA49" s="38" t="str">
        <x:v>第一季首映與內容資產歸檔 中文 教學 原理 安全 親子 AI literacy media creation YouTube</x:v>
      </x:c>
      <x:c r="AB49" s="38" t="str">
        <x:v>https://www.youtube.com/results?search_query=%E7%AC%AC%E4%B8%80%E5%AD%A3%E9%A6%96%E6%98%A0%E8%88%87%E5%85%A7%E5%AE%B9%E8%B3%87%E7%94%A2%E6%AD%B8%E6%AA%94+%E4%B8%AD%E6%96%87+%E6%95%99%E5%AD%B8+%E5%8E%9F%E7%90%86+%E5%AE%89%E5%85%A8+%E8%A6%AA%E5%AD%90+AI+literacy+media+creation+YouTube</x:v>
      </x:c>
      <x:c r="AC49" s="38" t="str">
        <x:v>課後延伸／親子討論</x:v>
      </x:c>
    </x:row>
    <x:row r="50" ht="105" customHeight="1">
      <x:c r="A50" s="40" t="n">
        <x:v>49</x:v>
      </x:c>
      <x:c r="B50" s="40" t="str">
        <x:v>第 2 年</x:v>
      </x:c>
      <x:c r="C50" s="40" t="str">
        <x:v>M04 Python 冒險：從文字到小遊戲</x:v>
      </x:c>
      <x:c r="D50" s="40" t="n">
        <x:v>1</x:v>
      </x:c>
      <x:c r="E50" s="40" t="str">
        <x:v>Python 第一行：讓電腦說話</x:v>
      </x:c>
      <x:c r="F50" s="40" t="str">
        <x:v>Python／邏輯／資料結構／文字遊戲</x:v>
      </x:c>
      <x:c r="G50" s="40" t="str">
        <x:v>理解直譯器、程式檔、print、字串與註解</x:v>
      </x:c>
      <x:c r="H50" s="40" t="str">
        <x:v>00–10 任務開場：Python 第一行：讓電腦說話
10–25 概念示範：理解直譯器、程式檔、print、字串與註解
25–65 父子共同實作：做一個會自我介紹、講冷笑話與畫 ASCII 圖的程式
65–75 休息／走動／聊天
75–105 孩子獨立改造：增加一個自選規則或功能
105–115 角色互換：孩子教爸爸操作與原理
115–120 錄音總結、作品命名、版本存檔</x:v>
      </x:c>
      <x:c r="I50" s="40" t="str">
        <x:v>做一個會自我介紹、講冷笑話與畫 ASCII 圖的程式</x:v>
      </x:c>
      <x:c r="J50" s="40" t="str">
        <x:v>冒險任務</x:v>
      </x:c>
      <x:c r="K50" s="40" t="str">
        <x:v>hello_tech.py</x:v>
      </x:c>
      <x:c r="L50" s="40" t="str">
        <x:v>邏輯與耐心</x:v>
      </x:c>
      <x:c r="M50" s="40" t="str">
        <x:v>確認 Python/VS Code 或瀏覽器編輯器；建立每堂課專案資料夾。</x:v>
      </x:c>
      <x:c r="N50" s="40" t="str">
        <x:v>15–30 分鐘自由改造；寫三句學習日誌：我做了什麼、哪裡卡住、下次想加什麼。</x:v>
      </x:c>
      <x:c r="O50" s="40" t="str">
        <x:v>完成「hello_tech.py」；能不用看稿說出核心原理；能指出至少一個錯誤、限制或安全注意事項。</x:v>
      </x:c>
      <x:c r="P50" s="40" t="str">
        <x:v>R13</x:v>
      </x:c>
      <x:c r="Q50" s="40" t="str">
        <x:v>https://codeclub.org/en/learn-to-code</x:v>
      </x:c>
      <x:c r="R50" s="40" t="str">
        <x:v>請孩子回答：1. Python 第一行：讓電腦說話在解決什麼？2. 我怎麼做？3. 哪裡容易錯？4. 生活中哪裡會用到？</x:v>
      </x:c>
      <x:c r="S50" s="40" t="str">
        <x:v>父子科技課 #049｜Python 第一行：讓電腦說話</x:v>
      </x:c>
      <x:c r="T50" s="40" t="n">
        <x:v>2</x:v>
      </x:c>
      <x:c r="U50" s="38" t="str">
        <x:v>Python 第一行 讓電腦說話 Python programming beginner beginner tutorial Python</x:v>
      </x:c>
      <x:c r="V50" s="38" t="str">
        <x:v>https://www.youtube.com/results?search_query=Python+%E7%AC%AC%E4%B8%80%E8%A1%8C+%E8%AE%93%E9%9B%BB%E8%85%A6%E8%AA%AA%E8%A9%B1+Python+programming+beginner+beginner+tutorial+Python</x:v>
      </x:c>
      <x:c r="W50" s="38" t="str">
        <x:v>課前暖身</x:v>
      </x:c>
      <x:c r="X50" s="38" t="str">
        <x:v>Python 第一行 讓電腦說話 理解直譯器、程式檔、print、字串與註解 hands on project for kids Python programming beginner</x:v>
      </x:c>
      <x:c r="Y50" s="38" t="str">
        <x:v>https://www.youtube.com/results?search_query=Python+%E7%AC%AC%E4%B8%80%E8%A1%8C+%E8%AE%93%E9%9B%BB%E8%85%A6%E8%AA%AA%E8%A9%B1+%E7%90%86%E8%A7%A3%E7%9B%B4%E8%AD%AF%E5%99%A8%E3%80%81%E7%A8%8B%E5%BC%8F%E6%AA%94%E3%80%81print%E3%80%81%E5%AD%97%E4%B8%B2%E8%88%87%E8%A8%BB%E8%A7%A3+hands+on+project+for+kids+Python+programming+beginner</x:v>
      </x:c>
      <x:c r="Z50" s="38" t="str">
        <x:v>課中實作參考</x:v>
      </x:c>
      <x:c r="AA50" s="38" t="str">
        <x:v>Python 第一行 讓電腦說話 中文 教學 原理 安全 親子 Python programming beginner</x:v>
      </x:c>
      <x:c r="AB50" s="38" t="str">
        <x:v>https://www.youtube.com/results?search_query=Python+%E7%AC%AC%E4%B8%80%E8%A1%8C+%E8%AE%93%E9%9B%BB%E8%85%A6%E8%AA%AA%E8%A9%B1+%E4%B8%AD%E6%96%87+%E6%95%99%E5%AD%B8+%E5%8E%9F%E7%90%86+%E5%AE%89%E5%85%A8+%E8%A6%AA%E5%AD%90+Python+programming+beginner</x:v>
      </x:c>
      <x:c r="AC50" s="38" t="str">
        <x:v>課後延伸／親子討論</x:v>
      </x:c>
    </x:row>
    <x:row r="51" ht="105" customHeight="1">
      <x:c r="A51" s="40" t="n">
        <x:v>50</x:v>
      </x:c>
      <x:c r="B51" s="40" t="str">
        <x:v>第 2 年</x:v>
      </x:c>
      <x:c r="C51" s="40" t="str">
        <x:v>M04 Python 冒險：從文字到小遊戲</x:v>
      </x:c>
      <x:c r="D51" s="40" t="n">
        <x:v>2</x:v>
      </x:c>
      <x:c r="E51" s="40" t="str">
        <x:v>變數：替資料貼標籤</x:v>
      </x:c>
      <x:c r="F51" s="40" t="str">
        <x:v>Python／邏輯／資料結構／文字遊戲</x:v>
      </x:c>
      <x:c r="G51" s="40" t="str">
        <x:v>使用字串、整數、浮點數與布林值</x:v>
      </x:c>
      <x:c r="H51" s="40" t="str">
        <x:v>00–10 任務開場：變數：替資料貼標籤
10–25 概念示範：使用字串、整數、浮點數與布林值
25–65 父子共同實作：製作角色資料卡並計算年齡換算天數
65–75 休息／走動／聊天
75–105 孩子獨立改造：增加一個自選規則或功能
105–115 角色互換：孩子教爸爸操作與原理
115–120 錄音總結、作品命名、版本存檔</x:v>
      </x:c>
      <x:c r="I51" s="40" t="str">
        <x:v>製作角色資料卡並計算年齡換算天數</x:v>
      </x:c>
      <x:c r="J51" s="40" t="str">
        <x:v>程式對決</x:v>
      </x:c>
      <x:c r="K51" s="40" t="str">
        <x:v>角色資料卡程式</x:v>
      </x:c>
      <x:c r="L51" s="40" t="str">
        <x:v>邏輯與耐心</x:v>
      </x:c>
      <x:c r="M51" s="40" t="str">
        <x:v>確認 Python/VS Code 或瀏覽器編輯器；建立每堂課專案資料夾。</x:v>
      </x:c>
      <x:c r="N51" s="40" t="str">
        <x:v>15–30 分鐘自由改造；寫三句學習日誌：我做了什麼、哪裡卡住、下次想加什麼。</x:v>
      </x:c>
      <x:c r="O51" s="40" t="str">
        <x:v>完成「角色資料卡程式」；能不用看稿說出核心原理；能指出至少一個錯誤、限制或安全注意事項。</x:v>
      </x:c>
      <x:c r="P51" s="40" t="str">
        <x:v>R16</x:v>
      </x:c>
      <x:c r="Q51" s="40" t="str">
        <x:v>https://docs.python.org/3/tutorial/index.html</x:v>
      </x:c>
      <x:c r="R51" s="40" t="str">
        <x:v>請孩子回答：1. 變數：替資料貼標籤在解決什麼？2. 我怎麼做？3. 哪裡容易錯？4. 生活中哪裡會用到？</x:v>
      </x:c>
      <x:c r="S51" s="40" t="str">
        <x:v>父子科技課 #050｜變數：替資料貼標籤</x:v>
      </x:c>
      <x:c r="T51" s="40" t="n">
        <x:v>2</x:v>
      </x:c>
      <x:c r="U51" s="38" t="str">
        <x:v>變數 替資料貼標籤 Python programming beginner beginner tutorial Python</x:v>
      </x:c>
      <x:c r="V51" s="38" t="str">
        <x:v>https://www.youtube.com/results?search_query=%E8%AE%8A%E6%95%B8+%E6%9B%BF%E8%B3%87%E6%96%99%E8%B2%BC%E6%A8%99%E7%B1%A4+Python+programming+beginner+beginner+tutorial+Python</x:v>
      </x:c>
      <x:c r="W51" s="38" t="str">
        <x:v>課前暖身</x:v>
      </x:c>
      <x:c r="X51" s="38" t="str">
        <x:v>變數 替資料貼標籤 使用字串、整數、浮點數與布林值 hands on project for kids Python programming beginner</x:v>
      </x:c>
      <x:c r="Y51" s="38" t="str">
        <x:v>https://www.youtube.com/results?search_query=%E8%AE%8A%E6%95%B8+%E6%9B%BF%E8%B3%87%E6%96%99%E8%B2%BC%E6%A8%99%E7%B1%A4+%E4%BD%BF%E7%94%A8%E5%AD%97%E4%B8%B2%E3%80%81%E6%95%B4%E6%95%B8%E3%80%81%E6%B5%AE%E9%BB%9E%E6%95%B8%E8%88%87%E5%B8%83%E6%9E%97%E5%80%BC+hands+on+project+for+kids+Python+programming+beginner</x:v>
      </x:c>
      <x:c r="Z51" s="38" t="str">
        <x:v>課中實作參考</x:v>
      </x:c>
      <x:c r="AA51" s="38" t="str">
        <x:v>變數 替資料貼標籤 中文 教學 原理 安全 親子 Python programming beginner</x:v>
      </x:c>
      <x:c r="AB51" s="38" t="str">
        <x:v>https://www.youtube.com/results?search_query=%E8%AE%8A%E6%95%B8+%E6%9B%BF%E8%B3%87%E6%96%99%E8%B2%BC%E6%A8%99%E7%B1%A4+%E4%B8%AD%E6%96%87+%E6%95%99%E5%AD%B8+%E5%8E%9F%E7%90%86+%E5%AE%89%E5%85%A8+%E8%A6%AA%E5%AD%90+Python+programming+beginner</x:v>
      </x:c>
      <x:c r="AC51" s="38" t="str">
        <x:v>課後延伸／親子討論</x:v>
      </x:c>
    </x:row>
    <x:row r="52" ht="105" customHeight="1">
      <x:c r="A52" s="40" t="n">
        <x:v>51</x:v>
      </x:c>
      <x:c r="B52" s="40" t="str">
        <x:v>第 2 年</x:v>
      </x:c>
      <x:c r="C52" s="40" t="str">
        <x:v>M04 Python 冒險：從文字到小遊戲</x:v>
      </x:c>
      <x:c r="D52" s="40" t="n">
        <x:v>3</x:v>
      </x:c>
      <x:c r="E52" s="40" t="str">
        <x:v>input/output：會問問題的程式</x:v>
      </x:c>
      <x:c r="F52" s="40" t="str">
        <x:v>Python／邏輯／資料結構／文字遊戲</x:v>
      </x:c>
      <x:c r="G52" s="40" t="str">
        <x:v>取得使用者輸入、轉型並產生個人化輸出</x:v>
      </x:c>
      <x:c r="H52" s="40" t="str">
        <x:v>00–10 任務開場：input/output：會問問題的程式
10–25 概念示範：取得使用者輸入、轉型並產生個人化輸出
25–65 父子共同實作：做一台『未來職業預測機』，由回答組合結果
65–75 休息／走動／聊天
75–105 孩子獨立改造：增加一個自選規則或功能
105–115 角色互換：孩子教爸爸操作與原理
115–120 錄音總結、作品命名、版本存檔</x:v>
      </x:c>
      <x:c r="I52" s="40" t="str">
        <x:v>做一台『未來職業預測機』，由回答組合結果</x:v>
      </x:c>
      <x:c r="J52" s="40" t="str">
        <x:v>Bug 獵人</x:v>
      </x:c>
      <x:c r="K52" s="40" t="str">
        <x:v>互動問答機</x:v>
      </x:c>
      <x:c r="L52" s="40" t="str">
        <x:v>邏輯與耐心</x:v>
      </x:c>
      <x:c r="M52" s="40" t="str">
        <x:v>確認 Python/VS Code 或瀏覽器編輯器；建立每堂課專案資料夾。</x:v>
      </x:c>
      <x:c r="N52" s="40" t="str">
        <x:v>15–30 分鐘自由改造；寫三句學習日誌：我做了什麼、哪裡卡住、下次想加什麼。</x:v>
      </x:c>
      <x:c r="O52" s="40" t="str">
        <x:v>完成「互動問答機」；能不用看稿說出核心原理；能指出至少一個錯誤、限制或安全注意事項。</x:v>
      </x:c>
      <x:c r="P52" s="40" t="str">
        <x:v>R16</x:v>
      </x:c>
      <x:c r="Q52" s="40" t="str">
        <x:v>https://docs.python.org/3/tutorial/index.html</x:v>
      </x:c>
      <x:c r="R52" s="40" t="str">
        <x:v>請孩子回答：1. input/output：會問問題的程式在解決什麼？2. 我怎麼做？3. 哪裡容易錯？4. 生活中哪裡會用到？</x:v>
      </x:c>
      <x:c r="S52" s="40" t="str">
        <x:v>父子科技課 #051｜input/output：會問問題的程式</x:v>
      </x:c>
      <x:c r="T52" s="40" t="n">
        <x:v>2</x:v>
      </x:c>
      <x:c r="U52" s="38" t="str">
        <x:v>input/output 會問問題的程式 Python programming beginner beginner tutorial Python</x:v>
      </x:c>
      <x:c r="V52" s="38" t="str">
        <x:v>https://www.youtube.com/results?search_query=input%2Foutput+%E6%9C%83%E5%95%8F%E5%95%8F%E9%A1%8C%E7%9A%84%E7%A8%8B%E5%BC%8F+Python+programming+beginner+beginner+tutorial+Python</x:v>
      </x:c>
      <x:c r="W52" s="38" t="str">
        <x:v>課前暖身</x:v>
      </x:c>
      <x:c r="X52" s="38" t="str">
        <x:v>input/output 會問問題的程式 取得使用者輸入、轉型並產生個人化輸出 hands on project for kids Python programming beginner</x:v>
      </x:c>
      <x:c r="Y52" s="38" t="str">
        <x:v>https://www.youtube.com/results?search_query=input%2Foutput+%E6%9C%83%E5%95%8F%E5%95%8F%E9%A1%8C%E7%9A%84%E7%A8%8B%E5%BC%8F+%E5%8F%96%E5%BE%97%E4%BD%BF%E7%94%A8%E8%80%85%E8%BC%B8%E5%85%A5%E3%80%81%E8%BD%89%E5%9E%8B%E4%B8%A6%E7%94%A2%E7%94%9F%E5%80%8B%E4%BA%BA%E5%8C%96%E8%BC%B8%E5%87%BA+hands+on+project+for+kids+Python+programming+beginner</x:v>
      </x:c>
      <x:c r="Z52" s="38" t="str">
        <x:v>課中實作參考</x:v>
      </x:c>
      <x:c r="AA52" s="38" t="str">
        <x:v>input/output 會問問題的程式 中文 教學 原理 安全 親子 Python programming beginner</x:v>
      </x:c>
      <x:c r="AB52" s="38" t="str">
        <x:v>https://www.youtube.com/results?search_query=input%2Foutput+%E6%9C%83%E5%95%8F%E5%95%8F%E9%A1%8C%E7%9A%84%E7%A8%8B%E5%BC%8F+%E4%B8%AD%E6%96%87+%E6%95%99%E5%AD%B8+%E5%8E%9F%E7%90%86+%E5%AE%89%E5%85%A8+%E8%A6%AA%E5%AD%90+Python+programming+beginner</x:v>
      </x:c>
      <x:c r="AC52" s="38" t="str">
        <x:v>課後延伸／親子討論</x:v>
      </x:c>
    </x:row>
    <x:row r="53" ht="105" customHeight="1">
      <x:c r="A53" s="40" t="n">
        <x:v>52</x:v>
      </x:c>
      <x:c r="B53" s="40" t="str">
        <x:v>第 2 年</x:v>
      </x:c>
      <x:c r="C53" s="40" t="str">
        <x:v>M04 Python 冒險：從文字到小遊戲</x:v>
      </x:c>
      <x:c r="D53" s="40" t="n">
        <x:v>4</x:v>
      </x:c>
      <x:c r="E53" s="40" t="str">
        <x:v>if/else：猜數字對決</x:v>
      </x:c>
      <x:c r="F53" s="40" t="str">
        <x:v>Python／邏輯／資料結構／文字遊戲</x:v>
      </x:c>
      <x:c r="G53" s="40" t="str">
        <x:v>用比較運算與條件控制不同路徑</x:v>
      </x:c>
      <x:c r="H53" s="40" t="str">
        <x:v>00–10 任務開場：if/else：猜數字對決
10–25 概念示範：用比較運算與條件控制不同路徑
25–65 父子共同實作：父子各寫猜數字遊戲，再交換挑戰
65–75 休息／走動／聊天
75–105 孩子獨立改造：增加一個自選規則或功能
105–115 角色互換：孩子教爸爸操作與原理
115–120 錄音總結、作品命名、版本存檔</x:v>
      </x:c>
      <x:c r="I53" s="40" t="str">
        <x:v>父子各寫猜數字遊戲，再交換挑戰</x:v>
      </x:c>
      <x:c r="J53" s="40" t="str">
        <x:v>解鎖成就</x:v>
      </x:c>
      <x:c r="K53" s="40" t="str">
        <x:v>猜數字遊戲</x:v>
      </x:c>
      <x:c r="L53" s="40" t="str">
        <x:v>邏輯與耐心</x:v>
      </x:c>
      <x:c r="M53" s="40" t="str">
        <x:v>確認 Python/VS Code 或瀏覽器編輯器；建立每堂課專案資料夾。</x:v>
      </x:c>
      <x:c r="N53" s="40" t="str">
        <x:v>15–30 分鐘自由改造；寫三句學習日誌：我做了什麼、哪裡卡住、下次想加什麼。</x:v>
      </x:c>
      <x:c r="O53" s="40" t="str">
        <x:v>完成「猜數字遊戲」；能不用看稿說出核心原理；能指出至少一個錯誤、限制或安全注意事項。</x:v>
      </x:c>
      <x:c r="P53" s="40" t="str">
        <x:v>R16</x:v>
      </x:c>
      <x:c r="Q53" s="40" t="str">
        <x:v>https://docs.python.org/3/tutorial/index.html</x:v>
      </x:c>
      <x:c r="R53" s="40" t="str">
        <x:v>請孩子回答：1. if/else：猜數字對決在解決什麼？2. 我怎麼做？3. 哪裡容易錯？4. 生活中哪裡會用到？</x:v>
      </x:c>
      <x:c r="S53" s="40" t="str">
        <x:v>父子科技課 #052｜if/else：猜數字對決</x:v>
      </x:c>
      <x:c r="T53" s="40" t="n">
        <x:v>2</x:v>
      </x:c>
      <x:c r="U53" s="38" t="str">
        <x:v>if/else 猜數字對決 Python programming beginner beginner tutorial Python</x:v>
      </x:c>
      <x:c r="V53" s="38" t="str">
        <x:v>https://www.youtube.com/results?search_query=if%2Felse+%E7%8C%9C%E6%95%B8%E5%AD%97%E5%B0%8D%E6%B1%BA+Python+programming+beginner+beginner+tutorial+Python</x:v>
      </x:c>
      <x:c r="W53" s="38" t="str">
        <x:v>課前暖身</x:v>
      </x:c>
      <x:c r="X53" s="38" t="str">
        <x:v>if/else 猜數字對決 用比較運算與條件控制不同路徑 hands on project for kids Python programming beginner</x:v>
      </x:c>
      <x:c r="Y53" s="38" t="str">
        <x:v>https://www.youtube.com/results?search_query=if%2Felse+%E7%8C%9C%E6%95%B8%E5%AD%97%E5%B0%8D%E6%B1%BA+%E7%94%A8%E6%AF%94%E8%BC%83%E9%81%8B%E7%AE%97%E8%88%87%E6%A2%9D%E4%BB%B6%E6%8E%A7%E5%88%B6%E4%B8%8D%E5%90%8C%E8%B7%AF%E5%BE%91+hands+on+project+for+kids+Python+programming+beginner</x:v>
      </x:c>
      <x:c r="Z53" s="38" t="str">
        <x:v>課中實作參考</x:v>
      </x:c>
      <x:c r="AA53" s="38" t="str">
        <x:v>if/else 猜數字對決 中文 教學 原理 安全 親子 Python programming beginner</x:v>
      </x:c>
      <x:c r="AB53" s="38" t="str">
        <x:v>https://www.youtube.com/results?search_query=if%2Felse+%E7%8C%9C%E6%95%B8%E5%AD%97%E5%B0%8D%E6%B1%BA+%E4%B8%AD%E6%96%87+%E6%95%99%E5%AD%B8+%E5%8E%9F%E7%90%86+%E5%AE%89%E5%85%A8+%E8%A6%AA%E5%AD%90+Python+programming+beginner</x:v>
      </x:c>
      <x:c r="AC53" s="38" t="str">
        <x:v>課後延伸／親子討論</x:v>
      </x:c>
    </x:row>
    <x:row r="54" ht="105" customHeight="1">
      <x:c r="A54" s="40" t="n">
        <x:v>53</x:v>
      </x:c>
      <x:c r="B54" s="40" t="str">
        <x:v>第 2 年</x:v>
      </x:c>
      <x:c r="C54" s="40" t="str">
        <x:v>M04 Python 冒險：從文字到小遊戲</x:v>
      </x:c>
      <x:c r="D54" s="40" t="n">
        <x:v>5</x:v>
      </x:c>
      <x:c r="E54" s="40" t="str">
        <x:v>while：直到任務完成</x:v>
      </x:c>
      <x:c r="F54" s="40" t="str">
        <x:v>Python／邏輯／資料結構／文字遊戲</x:v>
      </x:c>
      <x:c r="G54" s="40" t="str">
        <x:v>理解重複條件、結束條件與無限迴圈</x:v>
      </x:c>
      <x:c r="H54" s="40" t="str">
        <x:v>00–10 任務開場：while：直到任務完成
10–25 概念示範：理解重複條件、結束條件與無限迴圈
25–65 父子共同實作：建立密碼門，輸入錯誤會給提示但限制次數
65–75 休息／走動／聊天
75–105 孩子獨立改造：增加一個自選規則或功能
105–115 角色互換：孩子教爸爸操作與原理
115–120 錄音總結、作品命名、版本存檔</x:v>
      </x:c>
      <x:c r="I54" s="40" t="str">
        <x:v>建立密碼門，輸入錯誤會給提示但限制次數</x:v>
      </x:c>
      <x:c r="J54" s="40" t="str">
        <x:v>冒險任務</x:v>
      </x:c>
      <x:c r="K54" s="40" t="str">
        <x:v>密碼門程式</x:v>
      </x:c>
      <x:c r="L54" s="40" t="str">
        <x:v>邏輯與耐心</x:v>
      </x:c>
      <x:c r="M54" s="40" t="str">
        <x:v>確認 Python/VS Code 或瀏覽器編輯器；建立每堂課專案資料夾。</x:v>
      </x:c>
      <x:c r="N54" s="40" t="str">
        <x:v>15–30 分鐘自由改造；寫三句學習日誌：我做了什麼、哪裡卡住、下次想加什麼。</x:v>
      </x:c>
      <x:c r="O54" s="40" t="str">
        <x:v>完成「密碼門程式」；能不用看稿說出核心原理；能指出至少一個錯誤、限制或安全注意事項。</x:v>
      </x:c>
      <x:c r="P54" s="40" t="str">
        <x:v>R16</x:v>
      </x:c>
      <x:c r="Q54" s="40" t="str">
        <x:v>https://docs.python.org/3/tutorial/index.html</x:v>
      </x:c>
      <x:c r="R54" s="40" t="str">
        <x:v>請孩子回答：1. while：直到任務完成在解決什麼？2. 我怎麼做？3. 哪裡容易錯？4. 生活中哪裡會用到？</x:v>
      </x:c>
      <x:c r="S54" s="40" t="str">
        <x:v>父子科技課 #053｜while：直到任務完成</x:v>
      </x:c>
      <x:c r="T54" s="40" t="n">
        <x:v>2</x:v>
      </x:c>
      <x:c r="U54" s="38" t="str">
        <x:v>while 直到任務完成 Python programming beginner beginner tutorial Python</x:v>
      </x:c>
      <x:c r="V54" s="38" t="str">
        <x:v>https://www.youtube.com/results?search_query=while+%E7%9B%B4%E5%88%B0%E4%BB%BB%E5%8B%99%E5%AE%8C%E6%88%90+Python+programming+beginner+beginner+tutorial+Python</x:v>
      </x:c>
      <x:c r="W54" s="38" t="str">
        <x:v>課前暖身</x:v>
      </x:c>
      <x:c r="X54" s="38" t="str">
        <x:v>while 直到任務完成 理解重複條件、結束條件與無限迴圈 hands on project for kids Python programming beginner</x:v>
      </x:c>
      <x:c r="Y54" s="38" t="str">
        <x:v>https://www.youtube.com/results?search_query=while+%E7%9B%B4%E5%88%B0%E4%BB%BB%E5%8B%99%E5%AE%8C%E6%88%90+%E7%90%86%E8%A7%A3%E9%87%8D%E8%A4%87%E6%A2%9D%E4%BB%B6%E3%80%81%E7%B5%90%E6%9D%9F%E6%A2%9D%E4%BB%B6%E8%88%87%E7%84%A1%E9%99%90%E8%BF%B4%E5%9C%88+hands+on+project+for+kids+Python+programming+beginner</x:v>
      </x:c>
      <x:c r="Z54" s="38" t="str">
        <x:v>課中實作參考</x:v>
      </x:c>
      <x:c r="AA54" s="38" t="str">
        <x:v>while 直到任務完成 中文 教學 原理 安全 親子 Python programming beginner</x:v>
      </x:c>
      <x:c r="AB54" s="38" t="str">
        <x:v>https://www.youtube.com/results?search_query=while+%E7%9B%B4%E5%88%B0%E4%BB%BB%E5%8B%99%E5%AE%8C%E6%88%90+%E4%B8%AD%E6%96%87+%E6%95%99%E5%AD%B8+%E5%8E%9F%E7%90%86+%E5%AE%89%E5%85%A8+%E8%A6%AA%E5%AD%90+Python+programming+beginner</x:v>
      </x:c>
      <x:c r="AC54" s="38" t="str">
        <x:v>課後延伸／親子討論</x:v>
      </x:c>
    </x:row>
    <x:row r="55" ht="105" customHeight="1">
      <x:c r="A55" s="40" t="n">
        <x:v>54</x:v>
      </x:c>
      <x:c r="B55" s="40" t="str">
        <x:v>第 2 年</x:v>
      </x:c>
      <x:c r="C55" s="40" t="str">
        <x:v>M04 Python 冒險：從文字到小遊戲</x:v>
      </x:c>
      <x:c r="D55" s="40" t="n">
        <x:v>6</x:v>
      </x:c>
      <x:c r="E55" s="40" t="str">
        <x:v>for/range：巡邏與計數</x:v>
      </x:c>
      <x:c r="F55" s="40" t="str">
        <x:v>Python／邏輯／資料結構／文字遊戲</x:v>
      </x:c>
      <x:c r="G55" s="40" t="str">
        <x:v>用 for 處理固定次數與序列</x:v>
      </x:c>
      <x:c r="H55" s="40" t="str">
        <x:v>00–10 任務開場：for/range：巡邏與計數
10–25 概念示範：用 for 處理固定次數與序列
25–65 父子共同實作：做九九乘法挑戰、倒數發射與像素圖三選二
65–75 休息／走動／聊天
75–105 孩子獨立改造：增加一個自選規則或功能
105–115 角色互換：孩子教爸爸操作與原理
115–120 錄音總結、作品命名、版本存檔</x:v>
      </x:c>
      <x:c r="I55" s="40" t="str">
        <x:v>做九九乘法挑戰、倒數發射與像素圖三選二</x:v>
      </x:c>
      <x:c r="J55" s="40" t="str">
        <x:v>程式對決</x:v>
      </x:c>
      <x:c r="K55" s="40" t="str">
        <x:v>迴圈挑戰包</x:v>
      </x:c>
      <x:c r="L55" s="40" t="str">
        <x:v>邏輯與耐心</x:v>
      </x:c>
      <x:c r="M55" s="40" t="str">
        <x:v>確認 Python/VS Code 或瀏覽器編輯器；建立每堂課專案資料夾。</x:v>
      </x:c>
      <x:c r="N55" s="40" t="str">
        <x:v>15–30 分鐘自由改造；寫三句學習日誌：我做了什麼、哪裡卡住、下次想加什麼。</x:v>
      </x:c>
      <x:c r="O55" s="40" t="str">
        <x:v>完成「迴圈挑戰包」；能不用看稿說出核心原理；能指出至少一個錯誤、限制或安全注意事項。</x:v>
      </x:c>
      <x:c r="P55" s="40" t="str">
        <x:v>R16</x:v>
      </x:c>
      <x:c r="Q55" s="40" t="str">
        <x:v>https://docs.python.org/3/tutorial/index.html</x:v>
      </x:c>
      <x:c r="R55" s="40" t="str">
        <x:v>請孩子回答：1. for/range：巡邏與計數在解決什麼？2. 我怎麼做？3. 哪裡容易錯？4. 生活中哪裡會用到？</x:v>
      </x:c>
      <x:c r="S55" s="40" t="str">
        <x:v>父子科技課 #054｜for/range：巡邏與計數</x:v>
      </x:c>
      <x:c r="T55" s="40" t="n">
        <x:v>2</x:v>
      </x:c>
      <x:c r="U55" s="38" t="str">
        <x:v>for/range 巡邏與計數 Python programming beginner beginner tutorial Python</x:v>
      </x:c>
      <x:c r="V55" s="38" t="str">
        <x:v>https://www.youtube.com/results?search_query=for%2Frange+%E5%B7%A1%E9%82%8F%E8%88%87%E8%A8%88%E6%95%B8+Python+programming+beginner+beginner+tutorial+Python</x:v>
      </x:c>
      <x:c r="W55" s="38" t="str">
        <x:v>課前暖身</x:v>
      </x:c>
      <x:c r="X55" s="38" t="str">
        <x:v>for/range 巡邏與計數 用 for 處理固定次數與序列 hands on project for kids Python programming beginner</x:v>
      </x:c>
      <x:c r="Y55" s="38" t="str">
        <x:v>https://www.youtube.com/results?search_query=for%2Frange+%E5%B7%A1%E9%82%8F%E8%88%87%E8%A8%88%E6%95%B8+%E7%94%A8+for+%E8%99%95%E7%90%86%E5%9B%BA%E5%AE%9A%E6%AC%A1%E6%95%B8%E8%88%87%E5%BA%8F%E5%88%97+hands+on+project+for+kids+Python+programming+beginner</x:v>
      </x:c>
      <x:c r="Z55" s="38" t="str">
        <x:v>課中實作參考</x:v>
      </x:c>
      <x:c r="AA55" s="38" t="str">
        <x:v>for/range 巡邏與計數 中文 教學 原理 安全 親子 Python programming beginner</x:v>
      </x:c>
      <x:c r="AB55" s="38" t="str">
        <x:v>https://www.youtube.com/results?search_query=for%2Frange+%E5%B7%A1%E9%82%8F%E8%88%87%E8%A8%88%E6%95%B8+%E4%B8%AD%E6%96%87+%E6%95%99%E5%AD%B8+%E5%8E%9F%E7%90%86+%E5%AE%89%E5%85%A8+%E8%A6%AA%E5%AD%90+Python+programming+beginner</x:v>
      </x:c>
      <x:c r="AC55" s="38" t="str">
        <x:v>課後延伸／親子討論</x:v>
      </x:c>
    </x:row>
    <x:row r="56" ht="105" customHeight="1">
      <x:c r="A56" s="40" t="n">
        <x:v>55</x:v>
      </x:c>
      <x:c r="B56" s="40" t="str">
        <x:v>第 2 年</x:v>
      </x:c>
      <x:c r="C56" s="40" t="str">
        <x:v>M04 Python 冒險：從文字到小遊戲</x:v>
      </x:c>
      <x:c r="D56" s="40" t="n">
        <x:v>7</x:v>
      </x:c>
      <x:c r="E56" s="40" t="str">
        <x:v>list：冒險者的背包</x:v>
      </x:c>
      <x:c r="F56" s="40" t="str">
        <x:v>Python／邏輯／資料結構／文字遊戲</x:v>
      </x:c>
      <x:c r="G56" s="40" t="str">
        <x:v>新增、刪除、搜尋、排序與遍歷清單</x:v>
      </x:c>
      <x:c r="H56" s="40" t="str">
        <x:v>00–10 任務開場：list：冒險者的背包
10–25 概念示範：新增、刪除、搜尋、排序與遍歷清單
25–65 父子共同實作：建立背包系統，物品有容量限制與使用效果
65–75 休息／走動／聊天
75–105 孩子獨立改造：增加一個自選規則或功能
105–115 角色互換：孩子教爸爸操作與原理
115–120 錄音總結、作品命名、版本存檔</x:v>
      </x:c>
      <x:c r="I56" s="40" t="str">
        <x:v>建立背包系統，物品有容量限制與使用效果</x:v>
      </x:c>
      <x:c r="J56" s="40" t="str">
        <x:v>Bug 獵人</x:v>
      </x:c>
      <x:c r="K56" s="40" t="str">
        <x:v>背包模組</x:v>
      </x:c>
      <x:c r="L56" s="40" t="str">
        <x:v>邏輯與耐心</x:v>
      </x:c>
      <x:c r="M56" s="40" t="str">
        <x:v>確認 Python/VS Code 或瀏覽器編輯器；建立每堂課專案資料夾。</x:v>
      </x:c>
      <x:c r="N56" s="40" t="str">
        <x:v>15–30 分鐘自由改造；寫三句學習日誌：我做了什麼、哪裡卡住、下次想加什麼。</x:v>
      </x:c>
      <x:c r="O56" s="40" t="str">
        <x:v>完成「背包模組」；能不用看稿說出核心原理；能指出至少一個錯誤、限制或安全注意事項。</x:v>
      </x:c>
      <x:c r="P56" s="40" t="str">
        <x:v>R16</x:v>
      </x:c>
      <x:c r="Q56" s="40" t="str">
        <x:v>https://docs.python.org/3/tutorial/index.html</x:v>
      </x:c>
      <x:c r="R56" s="40" t="str">
        <x:v>請孩子回答：1. list：冒險者的背包在解決什麼？2. 我怎麼做？3. 哪裡容易錯？4. 生活中哪裡會用到？</x:v>
      </x:c>
      <x:c r="S56" s="40" t="str">
        <x:v>父子科技課 #055｜list：冒險者的背包</x:v>
      </x:c>
      <x:c r="T56" s="40" t="n">
        <x:v>2</x:v>
      </x:c>
      <x:c r="U56" s="38" t="str">
        <x:v>list 冒險者的背包 Python programming beginner beginner tutorial Python</x:v>
      </x:c>
      <x:c r="V56" s="38" t="str">
        <x:v>https://www.youtube.com/results?search_query=list+%E5%86%92%E9%9A%AA%E8%80%85%E7%9A%84%E8%83%8C%E5%8C%85+Python+programming+beginner+beginner+tutorial+Python</x:v>
      </x:c>
      <x:c r="W56" s="38" t="str">
        <x:v>課前暖身</x:v>
      </x:c>
      <x:c r="X56" s="38" t="str">
        <x:v>list 冒險者的背包 新增、刪除、搜尋、排序與遍歷清單 hands on project for kids Python programming beginner</x:v>
      </x:c>
      <x:c r="Y56" s="38" t="str">
        <x:v>https://www.youtube.com/results?search_query=list+%E5%86%92%E9%9A%AA%E8%80%85%E7%9A%84%E8%83%8C%E5%8C%85+%E6%96%B0%E5%A2%9E%E3%80%81%E5%88%AA%E9%99%A4%E3%80%81%E6%90%9C%E5%B0%8B%E3%80%81%E6%8E%92%E5%BA%8F%E8%88%87%E9%81%8D%E6%AD%B7%E6%B8%85%E5%96%AE+hands+on+project+for+kids+Python+programming+beginner</x:v>
      </x:c>
      <x:c r="Z56" s="38" t="str">
        <x:v>課中實作參考</x:v>
      </x:c>
      <x:c r="AA56" s="38" t="str">
        <x:v>list 冒險者的背包 中文 教學 原理 安全 親子 Python programming beginner</x:v>
      </x:c>
      <x:c r="AB56" s="38" t="str">
        <x:v>https://www.youtube.com/results?search_query=list+%E5%86%92%E9%9A%AA%E8%80%85%E7%9A%84%E8%83%8C%E5%8C%85+%E4%B8%AD%E6%96%87+%E6%95%99%E5%AD%B8+%E5%8E%9F%E7%90%86+%E5%AE%89%E5%85%A8+%E8%A6%AA%E5%AD%90+Python+programming+beginner</x:v>
      </x:c>
      <x:c r="AC56" s="38" t="str">
        <x:v>課後延伸／親子討論</x:v>
      </x:c>
    </x:row>
    <x:row r="57" ht="105" customHeight="1">
      <x:c r="A57" s="40" t="n">
        <x:v>56</x:v>
      </x:c>
      <x:c r="B57" s="40" t="str">
        <x:v>第 2 年</x:v>
      </x:c>
      <x:c r="C57" s="40" t="str">
        <x:v>M04 Python 冒險：從文字到小遊戲</x:v>
      </x:c>
      <x:c r="D57" s="40" t="n">
        <x:v>8</x:v>
      </x:c>
      <x:c r="E57" s="40" t="str">
        <x:v>dict：怪物圖鑑</x:v>
      </x:c>
      <x:c r="F57" s="40" t="str">
        <x:v>Python／邏輯／資料結構／文字遊戲</x:v>
      </x:c>
      <x:c r="G57" s="40" t="str">
        <x:v>以鍵值資料描述實體屬性</x:v>
      </x:c>
      <x:c r="H57" s="40" t="str">
        <x:v>00–10 任務開場：dict：怪物圖鑑
10–25 概念示範：以鍵值資料描述實體屬性
25–65 父子共同實作：建立 5 隻怪物，依弱點與血量顯示攻略
65–75 休息／走動／聊天
75–105 孩子獨立改造：增加一個自選規則或功能
105–115 角色互換：孩子教爸爸操作與原理
115–120 錄音總結、作品命名、版本存檔</x:v>
      </x:c>
      <x:c r="I57" s="40" t="str">
        <x:v>建立 5 隻怪物，依弱點與血量顯示攻略</x:v>
      </x:c>
      <x:c r="J57" s="40" t="str">
        <x:v>解鎖成就</x:v>
      </x:c>
      <x:c r="K57" s="40" t="str">
        <x:v>怪物圖鑑</x:v>
      </x:c>
      <x:c r="L57" s="40" t="str">
        <x:v>邏輯與耐心</x:v>
      </x:c>
      <x:c r="M57" s="40" t="str">
        <x:v>確認 Python/VS Code 或瀏覽器編輯器；建立每堂課專案資料夾。</x:v>
      </x:c>
      <x:c r="N57" s="40" t="str">
        <x:v>15–30 分鐘自由改造；寫三句學習日誌：我做了什麼、哪裡卡住、下次想加什麼。</x:v>
      </x:c>
      <x:c r="O57" s="40" t="str">
        <x:v>完成「怪物圖鑑」；能不用看稿說出核心原理；能指出至少一個錯誤、限制或安全注意事項。</x:v>
      </x:c>
      <x:c r="P57" s="40" t="str">
        <x:v>R16</x:v>
      </x:c>
      <x:c r="Q57" s="40" t="str">
        <x:v>https://docs.python.org/3/tutorial/index.html</x:v>
      </x:c>
      <x:c r="R57" s="40" t="str">
        <x:v>請孩子回答：1. dict：怪物圖鑑在解決什麼？2. 我怎麼做？3. 哪裡容易錯？4. 生活中哪裡會用到？</x:v>
      </x:c>
      <x:c r="S57" s="40" t="str">
        <x:v>父子科技課 #056｜dict：怪物圖鑑</x:v>
      </x:c>
      <x:c r="T57" s="40" t="n">
        <x:v>2</x:v>
      </x:c>
      <x:c r="U57" s="38" t="str">
        <x:v>dict 怪物圖鑑 Python programming beginner beginner tutorial Python</x:v>
      </x:c>
      <x:c r="V57" s="38" t="str">
        <x:v>https://www.youtube.com/results?search_query=dict+%E6%80%AA%E7%89%A9%E5%9C%96%E9%91%91+Python+programming+beginner+beginner+tutorial+Python</x:v>
      </x:c>
      <x:c r="W57" s="38" t="str">
        <x:v>課前暖身</x:v>
      </x:c>
      <x:c r="X57" s="38" t="str">
        <x:v>dict 怪物圖鑑 以鍵值資料描述實體屬性 hands on project for kids Python programming beginner</x:v>
      </x:c>
      <x:c r="Y57" s="38" t="str">
        <x:v>https://www.youtube.com/results?search_query=dict+%E6%80%AA%E7%89%A9%E5%9C%96%E9%91%91+%E4%BB%A5%E9%8D%B5%E5%80%BC%E8%B3%87%E6%96%99%E6%8F%8F%E8%BF%B0%E5%AF%A6%E9%AB%94%E5%B1%AC%E6%80%A7+hands+on+project+for+kids+Python+programming+beginner</x:v>
      </x:c>
      <x:c r="Z57" s="38" t="str">
        <x:v>課中實作參考</x:v>
      </x:c>
      <x:c r="AA57" s="38" t="str">
        <x:v>dict 怪物圖鑑 中文 教學 原理 安全 親子 Python programming beginner</x:v>
      </x:c>
      <x:c r="AB57" s="38" t="str">
        <x:v>https://www.youtube.com/results?search_query=dict+%E6%80%AA%E7%89%A9%E5%9C%96%E9%91%91+%E4%B8%AD%E6%96%87+%E6%95%99%E5%AD%B8+%E5%8E%9F%E7%90%86+%E5%AE%89%E5%85%A8+%E8%A6%AA%E5%AD%90+Python+programming+beginner</x:v>
      </x:c>
      <x:c r="AC57" s="38" t="str">
        <x:v>課後延伸／親子討論</x:v>
      </x:c>
    </x:row>
    <x:row r="58" ht="105" customHeight="1">
      <x:c r="A58" s="40" t="n">
        <x:v>57</x:v>
      </x:c>
      <x:c r="B58" s="40" t="str">
        <x:v>第 2 年</x:v>
      </x:c>
      <x:c r="C58" s="40" t="str">
        <x:v>M04 Python 冒險：從文字到小遊戲</x:v>
      </x:c>
      <x:c r="D58" s="40" t="n">
        <x:v>9</x:v>
      </x:c>
      <x:c r="E58" s="40" t="str">
        <x:v>function：自訂技能卡</x:v>
      </x:c>
      <x:c r="F58" s="40" t="str">
        <x:v>Python／邏輯／資料結構／文字遊戲</x:v>
      </x:c>
      <x:c r="G58" s="40" t="str">
        <x:v>把重複邏輯封裝成可重用函式</x:v>
      </x:c>
      <x:c r="H58" s="40" t="str">
        <x:v>00–10 任務開場：function：自訂技能卡
10–25 概念示範：把重複邏輯封裝成可重用函式
25–65 父子共同實作：把攻擊、治療、擲骰拆成函式並傳入參數
65–75 休息／走動／聊天
75–105 孩子獨立改造：增加一個自選規則或功能
105–115 角色互換：孩子教爸爸操作與原理
115–120 錄音總結、作品命名、版本存檔</x:v>
      </x:c>
      <x:c r="I58" s="40" t="str">
        <x:v>把攻擊、治療、擲骰拆成函式並傳入參數</x:v>
      </x:c>
      <x:c r="J58" s="40" t="str">
        <x:v>冒險任務</x:v>
      </x:c>
      <x:c r="K58" s="40" t="str">
        <x:v>戰鬥函式庫</x:v>
      </x:c>
      <x:c r="L58" s="40" t="str">
        <x:v>邏輯與耐心</x:v>
      </x:c>
      <x:c r="M58" s="40" t="str">
        <x:v>確認 Python/VS Code 或瀏覽器編輯器；建立每堂課專案資料夾。</x:v>
      </x:c>
      <x:c r="N58" s="40" t="str">
        <x:v>15–30 分鐘自由改造；寫三句學習日誌：我做了什麼、哪裡卡住、下次想加什麼。</x:v>
      </x:c>
      <x:c r="O58" s="40" t="str">
        <x:v>完成「戰鬥函式庫」；能不用看稿說出核心原理；能指出至少一個錯誤、限制或安全注意事項。</x:v>
      </x:c>
      <x:c r="P58" s="40" t="str">
        <x:v>R16</x:v>
      </x:c>
      <x:c r="Q58" s="40" t="str">
        <x:v>https://docs.python.org/3/tutorial/index.html</x:v>
      </x:c>
      <x:c r="R58" s="40" t="str">
        <x:v>請孩子回答：1. function：自訂技能卡在解決什麼？2. 我怎麼做？3. 哪裡容易錯？4. 生活中哪裡會用到？</x:v>
      </x:c>
      <x:c r="S58" s="40" t="str">
        <x:v>父子科技課 #057｜function：自訂技能卡</x:v>
      </x:c>
      <x:c r="T58" s="40" t="n">
        <x:v>3</x:v>
      </x:c>
      <x:c r="U58" s="38" t="str">
        <x:v>function 自訂技能卡 Python programming beginner beginner tutorial Python</x:v>
      </x:c>
      <x:c r="V58" s="38" t="str">
        <x:v>https://www.youtube.com/results?search_query=function+%E8%87%AA%E8%A8%82%E6%8A%80%E8%83%BD%E5%8D%A1+Python+programming+beginner+beginner+tutorial+Python</x:v>
      </x:c>
      <x:c r="W58" s="38" t="str">
        <x:v>課前暖身</x:v>
      </x:c>
      <x:c r="X58" s="38" t="str">
        <x:v>function 自訂技能卡 把重複邏輯封裝成可重用函式 hands on project for kids Python programming beginner</x:v>
      </x:c>
      <x:c r="Y58" s="38" t="str">
        <x:v>https://www.youtube.com/results?search_query=function+%E8%87%AA%E8%A8%82%E6%8A%80%E8%83%BD%E5%8D%A1+%E6%8A%8A%E9%87%8D%E8%A4%87%E9%82%8F%E8%BC%AF%E5%B0%81%E8%A3%9D%E6%88%90%E5%8F%AF%E9%87%8D%E7%94%A8%E5%87%BD%E5%BC%8F+hands+on+project+for+kids+Python+programming+beginner</x:v>
      </x:c>
      <x:c r="Z58" s="38" t="str">
        <x:v>課中實作參考</x:v>
      </x:c>
      <x:c r="AA58" s="38" t="str">
        <x:v>function 自訂技能卡 中文 教學 原理 安全 親子 Python programming beginner</x:v>
      </x:c>
      <x:c r="AB58" s="38" t="str">
        <x:v>https://www.youtube.com/results?search_query=function+%E8%87%AA%E8%A8%82%E6%8A%80%E8%83%BD%E5%8D%A1+%E4%B8%AD%E6%96%87+%E6%95%99%E5%AD%B8+%E5%8E%9F%E7%90%86+%E5%AE%89%E5%85%A8+%E8%A6%AA%E5%AD%90+Python+programming+beginner</x:v>
      </x:c>
      <x:c r="AC58" s="38" t="str">
        <x:v>課後延伸／親子討論</x:v>
      </x:c>
    </x:row>
    <x:row r="59" ht="105" customHeight="1">
      <x:c r="A59" s="40" t="n">
        <x:v>58</x:v>
      </x:c>
      <x:c r="B59" s="40" t="str">
        <x:v>第 2 年</x:v>
      </x:c>
      <x:c r="C59" s="40" t="str">
        <x:v>M04 Python 冒險：從文字到小遊戲</x:v>
      </x:c>
      <x:c r="D59" s="40" t="n">
        <x:v>10</x:v>
      </x:c>
      <x:c r="E59" s="40" t="str">
        <x:v>random：命運骰子</x:v>
      </x:c>
      <x:c r="F59" s="40" t="str">
        <x:v>Python／邏輯／資料結構／文字遊戲</x:v>
      </x:c>
      <x:c r="G59" s="40" t="str">
        <x:v>使用亂數創造事件並討論公平性</x:v>
      </x:c>
      <x:c r="H59" s="40" t="str">
        <x:v>00–10 任務開場：random：命運骰子
10–25 概念示範：使用亂數創造事件並討論公平性
25–65 父子共同實作：做寶箱、暴擊與隨機事件，跑 100 次看分布
65–75 休息／走動／聊天
75–105 孩子獨立改造：增加一個自選規則或功能
105–115 角色互換：孩子教爸爸操作與原理
115–120 錄音總結、作品命名、版本存檔</x:v>
      </x:c>
      <x:c r="I59" s="40" t="str">
        <x:v>做寶箱、暴擊與隨機事件，跑 100 次看分布</x:v>
      </x:c>
      <x:c r="J59" s="40" t="str">
        <x:v>程式對決</x:v>
      </x:c>
      <x:c r="K59" s="40" t="str">
        <x:v>隨機事件模擬</x:v>
      </x:c>
      <x:c r="L59" s="40" t="str">
        <x:v>邏輯與耐心</x:v>
      </x:c>
      <x:c r="M59" s="40" t="str">
        <x:v>確認 Python/VS Code 或瀏覽器編輯器；建立每堂課專案資料夾。</x:v>
      </x:c>
      <x:c r="N59" s="40" t="str">
        <x:v>15–30 分鐘自由改造；寫三句學習日誌：我做了什麼、哪裡卡住、下次想加什麼。</x:v>
      </x:c>
      <x:c r="O59" s="40" t="str">
        <x:v>完成「隨機事件模擬」；能不用看稿說出核心原理；能指出至少一個錯誤、限制或安全注意事項。</x:v>
      </x:c>
      <x:c r="P59" s="40" t="str">
        <x:v>R16</x:v>
      </x:c>
      <x:c r="Q59" s="40" t="str">
        <x:v>https://docs.python.org/3/tutorial/index.html</x:v>
      </x:c>
      <x:c r="R59" s="40" t="str">
        <x:v>請孩子回答：1. random：命運骰子在解決什麼？2. 我怎麼做？3. 哪裡容易錯？4. 生活中哪裡會用到？</x:v>
      </x:c>
      <x:c r="S59" s="40" t="str">
        <x:v>父子科技課 #058｜random：命運骰子</x:v>
      </x:c>
      <x:c r="T59" s="40" t="n">
        <x:v>3</x:v>
      </x:c>
      <x:c r="U59" s="38" t="str">
        <x:v>random 命運骰子 Python programming beginner beginner tutorial Python</x:v>
      </x:c>
      <x:c r="V59" s="38" t="str">
        <x:v>https://www.youtube.com/results?search_query=random+%E5%91%BD%E9%81%8B%E9%AA%B0%E5%AD%90+Python+programming+beginner+beginner+tutorial+Python</x:v>
      </x:c>
      <x:c r="W59" s="38" t="str">
        <x:v>課前暖身</x:v>
      </x:c>
      <x:c r="X59" s="38" t="str">
        <x:v>random 命運骰子 使用亂數創造事件並討論公平性 hands on project for kids Python programming beginner</x:v>
      </x:c>
      <x:c r="Y59" s="38" t="str">
        <x:v>https://www.youtube.com/results?search_query=random+%E5%91%BD%E9%81%8B%E9%AA%B0%E5%AD%90+%E4%BD%BF%E7%94%A8%E4%BA%82%E6%95%B8%E5%89%B5%E9%80%A0%E4%BA%8B%E4%BB%B6%E4%B8%A6%E8%A8%8E%E8%AB%96%E5%85%AC%E5%B9%B3%E6%80%A7+hands+on+project+for+kids+Python+programming+beginner</x:v>
      </x:c>
      <x:c r="Z59" s="38" t="str">
        <x:v>課中實作參考</x:v>
      </x:c>
      <x:c r="AA59" s="38" t="str">
        <x:v>random 命運骰子 中文 教學 原理 安全 親子 Python programming beginner</x:v>
      </x:c>
      <x:c r="AB59" s="38" t="str">
        <x:v>https://www.youtube.com/results?search_query=random+%E5%91%BD%E9%81%8B%E9%AA%B0%E5%AD%90+%E4%B8%AD%E6%96%87+%E6%95%99%E5%AD%B8+%E5%8E%9F%E7%90%86+%E5%AE%89%E5%85%A8+%E8%A6%AA%E5%AD%90+Python+programming+beginner</x:v>
      </x:c>
      <x:c r="AC59" s="38" t="str">
        <x:v>課後延伸／親子討論</x:v>
      </x:c>
    </x:row>
    <x:row r="60" ht="105" customHeight="1">
      <x:c r="A60" s="40" t="n">
        <x:v>59</x:v>
      </x:c>
      <x:c r="B60" s="40" t="str">
        <x:v>第 2 年</x:v>
      </x:c>
      <x:c r="C60" s="40" t="str">
        <x:v>M04 Python 冒險：從文字到小遊戲</x:v>
      </x:c>
      <x:c r="D60" s="40" t="n">
        <x:v>11</x:v>
      </x:c>
      <x:c r="E60" s="40" t="str">
        <x:v>例外處理：程式也要有安全網</x:v>
      </x:c>
      <x:c r="F60" s="40" t="str">
        <x:v>Python／邏輯／資料結構／文字遊戲</x:v>
      </x:c>
      <x:c r="G60" s="40" t="str">
        <x:v>理解常見錯誤、try/except 與友善提示</x:v>
      </x:c>
      <x:c r="H60" s="40" t="str">
        <x:v>00–10 任務開場：例外處理：程式也要有安全網
10–25 概念示範：理解常見錯誤、try/except 與友善提示
25–65 父子共同實作：故意輸入錯誤資料，讓程式不崩潰且能恢復
65–75 休息／走動／聊天
75–105 孩子獨立改造：增加一個自選規則或功能
105–115 角色互換：孩子教爸爸操作與原理
115–120 錄音總結、作品命名、版本存檔</x:v>
      </x:c>
      <x:c r="I60" s="40" t="str">
        <x:v>故意輸入錯誤資料，讓程式不崩潰且能恢復</x:v>
      </x:c>
      <x:c r="J60" s="40" t="str">
        <x:v>Bug 獵人</x:v>
      </x:c>
      <x:c r="K60" s="40" t="str">
        <x:v>強韌輸入模組</x:v>
      </x:c>
      <x:c r="L60" s="40" t="str">
        <x:v>安全</x:v>
      </x:c>
      <x:c r="M60" s="40" t="str">
        <x:v>確認 Python/VS Code 或瀏覽器編輯器；建立每堂課專案資料夾。</x:v>
      </x:c>
      <x:c r="N60" s="40" t="str">
        <x:v>15–30 分鐘自由改造；寫三句學習日誌：我做了什麼、哪裡卡住、下次想加什麼。</x:v>
      </x:c>
      <x:c r="O60" s="40" t="str">
        <x:v>完成「強韌輸入模組」；能不用看稿說出核心原理；能指出至少一個錯誤、限制或安全注意事項。</x:v>
      </x:c>
      <x:c r="P60" s="40" t="str">
        <x:v>R16</x:v>
      </x:c>
      <x:c r="Q60" s="40" t="str">
        <x:v>https://docs.python.org/3/tutorial/index.html</x:v>
      </x:c>
      <x:c r="R60" s="40" t="str">
        <x:v>請孩子回答：1. 例外處理：程式也要有安全網在解決什麼？2. 我怎麼做？3. 哪裡容易錯？4. 生活中哪裡會用到？</x:v>
      </x:c>
      <x:c r="S60" s="40" t="str">
        <x:v>父子科技課 #059｜例外處理：程式也要有安全網</x:v>
      </x:c>
      <x:c r="T60" s="40" t="n">
        <x:v>3</x:v>
      </x:c>
      <x:c r="U60" s="38" t="str">
        <x:v>例外處理 程式也要有安全網 Python programming beginner beginner tutorial Python</x:v>
      </x:c>
      <x:c r="V60" s="38" t="str">
        <x:v>https://www.youtube.com/results?search_query=%E4%BE%8B%E5%A4%96%E8%99%95%E7%90%86+%E7%A8%8B%E5%BC%8F%E4%B9%9F%E8%A6%81%E6%9C%89%E5%AE%89%E5%85%A8%E7%B6%B2+Python+programming+beginner+beginner+tutorial+Python</x:v>
      </x:c>
      <x:c r="W60" s="38" t="str">
        <x:v>課前暖身</x:v>
      </x:c>
      <x:c r="X60" s="38" t="str">
        <x:v>例外處理 程式也要有安全網 理解常見錯誤、try/except 與友善提示 hands on project for kids Python programming beginner</x:v>
      </x:c>
      <x:c r="Y60" s="38" t="str">
        <x:v>https://www.youtube.com/results?search_query=%E4%BE%8B%E5%A4%96%E8%99%95%E7%90%86+%E7%A8%8B%E5%BC%8F%E4%B9%9F%E8%A6%81%E6%9C%89%E5%AE%89%E5%85%A8%E7%B6%B2+%E7%90%86%E8%A7%A3%E5%B8%B8%E8%A6%8B%E9%8C%AF%E8%AA%A4%E3%80%81try%2Fexcept+%E8%88%87%E5%8F%8B%E5%96%84%E6%8F%90%E7%A4%BA+hands+on+project+for+kids+Python+programming+beginner</x:v>
      </x:c>
      <x:c r="Z60" s="38" t="str">
        <x:v>課中實作參考</x:v>
      </x:c>
      <x:c r="AA60" s="38" t="str">
        <x:v>例外處理 程式也要有安全網 中文 教學 原理 安全 親子 Python programming beginner</x:v>
      </x:c>
      <x:c r="AB60" s="38" t="str">
        <x:v>https://www.youtube.com/results?search_query=%E4%BE%8B%E5%A4%96%E8%99%95%E7%90%86+%E7%A8%8B%E5%BC%8F%E4%B9%9F%E8%A6%81%E6%9C%89%E5%AE%89%E5%85%A8%E7%B6%B2+%E4%B8%AD%E6%96%87+%E6%95%99%E5%AD%B8+%E5%8E%9F%E7%90%86+%E5%AE%89%E5%85%A8+%E8%A6%AA%E5%AD%90+Python+programming+beginner</x:v>
      </x:c>
      <x:c r="AC60" s="38" t="str">
        <x:v>課後延伸／親子討論</x:v>
      </x:c>
    </x:row>
    <x:row r="61" ht="105" customHeight="1">
      <x:c r="A61" s="40" t="n">
        <x:v>60</x:v>
      </x:c>
      <x:c r="B61" s="40" t="str">
        <x:v>第 2 年</x:v>
      </x:c>
      <x:c r="C61" s="40" t="str">
        <x:v>M04 Python 冒險：從文字到小遊戲</x:v>
      </x:c>
      <x:c r="D61" s="40" t="n">
        <x:v>12</x:v>
      </x:c>
      <x:c r="E61" s="40" t="str">
        <x:v>檔案：讓遊戲記得你</x:v>
      </x:c>
      <x:c r="F61" s="40" t="str">
        <x:v>Python／邏輯／資料結構／文字遊戲</x:v>
      </x:c>
      <x:c r="G61" s="40" t="str">
        <x:v>讀寫文字或 JSON，理解儲存與載入</x:v>
      </x:c>
      <x:c r="H61" s="40" t="str">
        <x:v>00–10 任務開場：檔案：讓遊戲記得你
10–25 概念示範：讀寫文字或 JSON，理解儲存與載入
25–65 父子共同實作：保存玩家名稱、金幣與最高分，重新啟動仍存在
65–75 休息／走動／聊天
75–105 孩子獨立改造：增加一個自選規則或功能
105–115 角色互換：孩子教爸爸操作與原理
115–120 錄音總結、作品命名、版本存檔</x:v>
      </x:c>
      <x:c r="I61" s="40" t="str">
        <x:v>保存玩家名稱、金幣與最高分，重新啟動仍存在</x:v>
      </x:c>
      <x:c r="J61" s="40" t="str">
        <x:v>解鎖成就</x:v>
      </x:c>
      <x:c r="K61" s="40" t="str">
        <x:v>存檔系統</x:v>
      </x:c>
      <x:c r="L61" s="40" t="str">
        <x:v>自主管理</x:v>
      </x:c>
      <x:c r="M61" s="40" t="str">
        <x:v>確認 Python/VS Code 或瀏覽器編輯器；建立每堂課專案資料夾。</x:v>
      </x:c>
      <x:c r="N61" s="40" t="str">
        <x:v>15–30 分鐘自由改造；寫三句學習日誌：我做了什麼、哪裡卡住、下次想加什麼。</x:v>
      </x:c>
      <x:c r="O61" s="40" t="str">
        <x:v>完成「存檔系統」；能不用看稿說出核心原理；能指出至少一個錯誤、限制或安全注意事項。</x:v>
      </x:c>
      <x:c r="P61" s="40" t="str">
        <x:v>R16</x:v>
      </x:c>
      <x:c r="Q61" s="40" t="str">
        <x:v>https://docs.python.org/3/tutorial/index.html</x:v>
      </x:c>
      <x:c r="R61" s="40" t="str">
        <x:v>請孩子回答：1. 檔案：讓遊戲記得你在解決什麼？2. 我怎麼做？3. 哪裡容易錯？4. 生活中哪裡會用到？</x:v>
      </x:c>
      <x:c r="S61" s="40" t="str">
        <x:v>父子科技課 #060｜檔案：讓遊戲記得你</x:v>
      </x:c>
      <x:c r="T61" s="40" t="n">
        <x:v>3</x:v>
      </x:c>
      <x:c r="U61" s="38" t="str">
        <x:v>檔案 讓遊戲記得你 Python programming beginner beginner tutorial Python</x:v>
      </x:c>
      <x:c r="V61" s="38" t="str">
        <x:v>https://www.youtube.com/results?search_query=%E6%AA%94%E6%A1%88+%E8%AE%93%E9%81%8A%E6%88%B2%E8%A8%98%E5%BE%97%E4%BD%A0+Python+programming+beginner+beginner+tutorial+Python</x:v>
      </x:c>
      <x:c r="W61" s="38" t="str">
        <x:v>課前暖身</x:v>
      </x:c>
      <x:c r="X61" s="38" t="str">
        <x:v>檔案 讓遊戲記得你 讀寫文字或 JSON，理解儲存與載入 hands on project for kids Python programming beginner</x:v>
      </x:c>
      <x:c r="Y61" s="38" t="str">
        <x:v>https://www.youtube.com/results?search_query=%E6%AA%94%E6%A1%88+%E8%AE%93%E9%81%8A%E6%88%B2%E8%A8%98%E5%BE%97%E4%BD%A0+%E8%AE%80%E5%AF%AB%E6%96%87%E5%AD%97%E6%88%96+JSON%EF%BC%8C%E7%90%86%E8%A7%A3%E5%84%B2%E5%AD%98%E8%88%87%E8%BC%89%E5%85%A5+hands+on+project+for+kids+Python+programming+beginner</x:v>
      </x:c>
      <x:c r="Z61" s="38" t="str">
        <x:v>課中實作參考</x:v>
      </x:c>
      <x:c r="AA61" s="38" t="str">
        <x:v>檔案 讓遊戲記得你 中文 教學 原理 安全 親子 Python programming beginner</x:v>
      </x:c>
      <x:c r="AB61" s="38" t="str">
        <x:v>https://www.youtube.com/results?search_query=%E6%AA%94%E6%A1%88+%E8%AE%93%E9%81%8A%E6%88%B2%E8%A8%98%E5%BE%97%E4%BD%A0+%E4%B8%AD%E6%96%87+%E6%95%99%E5%AD%B8+%E5%8E%9F%E7%90%86+%E5%AE%89%E5%85%A8+%E8%A6%AA%E5%AD%90+Python+programming+beginner</x:v>
      </x:c>
      <x:c r="AC61" s="38" t="str">
        <x:v>課後延伸／親子討論</x:v>
      </x:c>
    </x:row>
    <x:row r="62" ht="105" customHeight="1">
      <x:c r="A62" s="40" t="n">
        <x:v>61</x:v>
      </x:c>
      <x:c r="B62" s="40" t="str">
        <x:v>第 2 年</x:v>
      </x:c>
      <x:c r="C62" s="40" t="str">
        <x:v>M04 Python 冒險：從文字到小遊戲</x:v>
      </x:c>
      <x:c r="D62" s="40" t="n">
        <x:v>13</x:v>
      </x:c>
      <x:c r="E62" s="40" t="str">
        <x:v>文字 RPG 設計：地圖、事件與狀態</x:v>
      </x:c>
      <x:c r="F62" s="40" t="str">
        <x:v>Python／邏輯／資料結構／文字遊戲</x:v>
      </x:c>
      <x:c r="G62" s="40" t="str">
        <x:v>把故事拆成資料、函式與流程圖</x:v>
      </x:c>
      <x:c r="H62" s="40" t="str">
        <x:v>00–10 任務開場：文字 RPG 設計：地圖、事件與狀態
10–25 概念示範：把故事拆成資料、函式與流程圖
25–65 父子共同實作：畫出 6 房間地圖、3 個事件、2 種結局
65–75 休息／走動／聊天
75–105 孩子獨立改造：增加一個自選規則或功能
105–115 角色互換：孩子教爸爸操作與原理
115–120 錄音總結、作品命名、版本存檔</x:v>
      </x:c>
      <x:c r="I62" s="40" t="str">
        <x:v>畫出 6 房間地圖、3 個事件、2 種結局</x:v>
      </x:c>
      <x:c r="J62" s="40" t="str">
        <x:v>冒險任務</x:v>
      </x:c>
      <x:c r="K62" s="40" t="str">
        <x:v>RPG 設計文件</x:v>
      </x:c>
      <x:c r="L62" s="40" t="str">
        <x:v>邏輯與耐心</x:v>
      </x:c>
      <x:c r="M62" s="40" t="str">
        <x:v>確認 Python/VS Code 或瀏覽器編輯器；建立每堂課專案資料夾。</x:v>
      </x:c>
      <x:c r="N62" s="40" t="str">
        <x:v>15–30 分鐘自由改造；寫三句學習日誌：我做了什麼、哪裡卡住、下次想加什麼。</x:v>
      </x:c>
      <x:c r="O62" s="40" t="str">
        <x:v>完成「RPG 設計文件」；能不用看稿說出核心原理；能指出至少一個錯誤、限制或安全注意事項。</x:v>
      </x:c>
      <x:c r="P62" s="40" t="str">
        <x:v>R12</x:v>
      </x:c>
      <x:c r="Q62" s="40" t="str">
        <x:v>https://projects.raspberrypi.org/en/collections/python</x:v>
      </x:c>
      <x:c r="R62" s="40" t="str">
        <x:v>請孩子回答：1. 文字 RPG 設計：地圖、事件與狀態在解決什麼？2. 我怎麼做？3. 哪裡容易錯？4. 生活中哪裡會用到？</x:v>
      </x:c>
      <x:c r="S62" s="40" t="str">
        <x:v>父子科技課 #061｜文字 RPG 設計：地圖、事件與狀態</x:v>
      </x:c>
      <x:c r="T62" s="40" t="n">
        <x:v>3</x:v>
      </x:c>
      <x:c r="U62" s="38" t="str">
        <x:v>文字 RPG 設計 地圖、事件與狀態 Python programming beginner beginner tutorial Python</x:v>
      </x:c>
      <x:c r="V62" s="38" t="str">
        <x:v>https://www.youtube.com/results?search_query=%E6%96%87%E5%AD%97+RPG+%E8%A8%AD%E8%A8%88+%E5%9C%B0%E5%9C%96%E3%80%81%E4%BA%8B%E4%BB%B6%E8%88%87%E7%8B%80%E6%85%8B+Python+programming+beginner+beginner+tutorial+Python</x:v>
      </x:c>
      <x:c r="W62" s="38" t="str">
        <x:v>課前暖身</x:v>
      </x:c>
      <x:c r="X62" s="38" t="str">
        <x:v>文字 RPG 設計 地圖、事件與狀態 把故事拆成資料、函式與流程圖 hands on project for kids Python programming beginner</x:v>
      </x:c>
      <x:c r="Y62" s="38" t="str">
        <x:v>https://www.youtube.com/results?search_query=%E6%96%87%E5%AD%97+RPG+%E8%A8%AD%E8%A8%88+%E5%9C%B0%E5%9C%96%E3%80%81%E4%BA%8B%E4%BB%B6%E8%88%87%E7%8B%80%E6%85%8B+%E6%8A%8A%E6%95%85%E4%BA%8B%E6%8B%86%E6%88%90%E8%B3%87%E6%96%99%E3%80%81%E5%87%BD%E5%BC%8F%E8%88%87%E6%B5%81%E7%A8%8B%E5%9C%96+hands+on+project+for+kids+Python+programming+beginner</x:v>
      </x:c>
      <x:c r="Z62" s="38" t="str">
        <x:v>課中實作參考</x:v>
      </x:c>
      <x:c r="AA62" s="38" t="str">
        <x:v>文字 RPG 設計 地圖、事件與狀態 中文 教學 原理 安全 親子 Python programming beginner</x:v>
      </x:c>
      <x:c r="AB62" s="38" t="str">
        <x:v>https://www.youtube.com/results?search_query=%E6%96%87%E5%AD%97+RPG+%E8%A8%AD%E8%A8%88+%E5%9C%B0%E5%9C%96%E3%80%81%E4%BA%8B%E4%BB%B6%E8%88%87%E7%8B%80%E6%85%8B+%E4%B8%AD%E6%96%87+%E6%95%99%E5%AD%B8+%E5%8E%9F%E7%90%86+%E5%AE%89%E5%85%A8+%E8%A6%AA%E5%AD%90+Python+programming+beginner</x:v>
      </x:c>
      <x:c r="AC62" s="38" t="str">
        <x:v>課後延伸／親子討論</x:v>
      </x:c>
    </x:row>
    <x:row r="63" ht="105" customHeight="1">
      <x:c r="A63" s="40" t="n">
        <x:v>62</x:v>
      </x:c>
      <x:c r="B63" s="40" t="str">
        <x:v>第 2 年</x:v>
      </x:c>
      <x:c r="C63" s="40" t="str">
        <x:v>M04 Python 冒險：從文字到小遊戲</x:v>
      </x:c>
      <x:c r="D63" s="40" t="n">
        <x:v>14</x:v>
      </x:c>
      <x:c r="E63" s="40" t="str">
        <x:v>文字 RPG Alpha</x:v>
      </x:c>
      <x:c r="F63" s="40" t="str">
        <x:v>Python／邏輯／資料結構／文字遊戲</x:v>
      </x:c>
      <x:c r="G63" s="40" t="str">
        <x:v>完成可從開始玩到任一結局的最小版本</x:v>
      </x:c>
      <x:c r="H63" s="40" t="str">
        <x:v>00–10 任務開場：文字 RPG Alpha
10–25 概念示範：完成可從開始玩到任一結局的最小版本
25–65 父子共同實作：先求能玩，再加一個戰鬥與一個道具
65–75 休息／走動／聊天
75–105 孩子獨立改造：增加一個自選規則或功能
105–115 角色互換：孩子教爸爸操作與原理
115–120 錄音總結、作品命名、版本存檔</x:v>
      </x:c>
      <x:c r="I63" s="40" t="str">
        <x:v>先求能玩，再加一個戰鬥與一個道具</x:v>
      </x:c>
      <x:c r="J63" s="40" t="str">
        <x:v>程式對決</x:v>
      </x:c>
      <x:c r="K63" s="40" t="str">
        <x:v>RPG Alpha</x:v>
      </x:c>
      <x:c r="L63" s="40" t="str">
        <x:v>邏輯與耐心</x:v>
      </x:c>
      <x:c r="M63" s="40" t="str">
        <x:v>確認 Python/VS Code 或瀏覽器編輯器；建立每堂課專案資料夾。</x:v>
      </x:c>
      <x:c r="N63" s="40" t="str">
        <x:v>15–30 分鐘自由改造；寫三句學習日誌：我做了什麼、哪裡卡住、下次想加什麼。</x:v>
      </x:c>
      <x:c r="O63" s="40" t="str">
        <x:v>完成「RPG Alpha」；能不用看稿說出核心原理；能指出至少一個錯誤、限制或安全注意事項。</x:v>
      </x:c>
      <x:c r="P63" s="40" t="str">
        <x:v>R12</x:v>
      </x:c>
      <x:c r="Q63" s="40" t="str">
        <x:v>https://projects.raspberrypi.org/en/collections/python</x:v>
      </x:c>
      <x:c r="R63" s="40" t="str">
        <x:v>請孩子回答：1. 文字 RPG Alpha在解決什麼？2. 我怎麼做？3. 哪裡容易錯？4. 生活中哪裡會用到？</x:v>
      </x:c>
      <x:c r="S63" s="40" t="str">
        <x:v>父子科技課 #062｜文字 RPG Alpha</x:v>
      </x:c>
      <x:c r="T63" s="40" t="n">
        <x:v>3</x:v>
      </x:c>
      <x:c r="U63" s="38" t="str">
        <x:v>文字 RPG Alpha Python programming beginner beginner tutorial Python</x:v>
      </x:c>
      <x:c r="V63" s="38" t="str">
        <x:v>https://www.youtube.com/results?search_query=%E6%96%87%E5%AD%97+RPG+Alpha+Python+programming+beginner+beginner+tutorial+Python</x:v>
      </x:c>
      <x:c r="W63" s="38" t="str">
        <x:v>課前暖身</x:v>
      </x:c>
      <x:c r="X63" s="38" t="str">
        <x:v>文字 RPG Alpha 完成可從開始玩到任一結局的最小版本 hands on project for kids Python programming beginner</x:v>
      </x:c>
      <x:c r="Y63" s="38" t="str">
        <x:v>https://www.youtube.com/results?search_query=%E6%96%87%E5%AD%97+RPG+Alpha+%E5%AE%8C%E6%88%90%E5%8F%AF%E5%BE%9E%E9%96%8B%E5%A7%8B%E7%8E%A9%E5%88%B0%E4%BB%BB%E4%B8%80%E7%B5%90%E5%B1%80%E7%9A%84%E6%9C%80%E5%B0%8F%E7%89%88%E6%9C%AC+hands+on+project+for+kids+Python+programming+beginner</x:v>
      </x:c>
      <x:c r="Z63" s="38" t="str">
        <x:v>課中實作參考</x:v>
      </x:c>
      <x:c r="AA63" s="38" t="str">
        <x:v>文字 RPG Alpha 中文 教學 原理 安全 親子 Python programming beginner</x:v>
      </x:c>
      <x:c r="AB63" s="38" t="str">
        <x:v>https://www.youtube.com/results?search_query=%E6%96%87%E5%AD%97+RPG+Alpha+%E4%B8%AD%E6%96%87+%E6%95%99%E5%AD%B8+%E5%8E%9F%E7%90%86+%E5%AE%89%E5%85%A8+%E8%A6%AA%E5%AD%90+Python+programming+beginner</x:v>
      </x:c>
      <x:c r="AC63" s="38" t="str">
        <x:v>課後延伸／親子討論</x:v>
      </x:c>
    </x:row>
    <x:row r="64" ht="105" customHeight="1">
      <x:c r="A64" s="40" t="n">
        <x:v>63</x:v>
      </x:c>
      <x:c r="B64" s="40" t="str">
        <x:v>第 2 年</x:v>
      </x:c>
      <x:c r="C64" s="40" t="str">
        <x:v>M04 Python 冒險：從文字到小遊戲</x:v>
      </x:c>
      <x:c r="D64" s="40" t="n">
        <x:v>15</x:v>
      </x:c>
      <x:c r="E64" s="40" t="str">
        <x:v>測試與除錯：找出最短破關路線</x:v>
      </x:c>
      <x:c r="F64" s="40" t="str">
        <x:v>Python／邏輯／資料結構／文字遊戲</x:v>
      </x:c>
      <x:c r="G64" s="40" t="str">
        <x:v>建立測試案例、邊界條件與 Bug 清單</x:v>
      </x:c>
      <x:c r="H64" s="40" t="str">
        <x:v>00–10 任務開場：測試與除錯：找出最短破關路線
10–25 概念示範：建立測試案例、邊界條件與 Bug 清單
25–65 父子共同實作：爸爸嘗試用奇怪輸入破壞遊戲，孩子修復並回歸測試
65–75 休息／走動／聊天
75–105 孩子獨立改造：增加一個自選規則或功能
105–115 角色互換：孩子教爸爸操作與原理
115–120 錄音總結、作品命名、版本存檔</x:v>
      </x:c>
      <x:c r="I64" s="40" t="str">
        <x:v>爸爸嘗試用奇怪輸入破壞遊戲，孩子修復並回歸測試</x:v>
      </x:c>
      <x:c r="J64" s="40" t="str">
        <x:v>Bug 獵人</x:v>
      </x:c>
      <x:c r="K64" s="40" t="str">
        <x:v>測試紀錄＋Beta</x:v>
      </x:c>
      <x:c r="L64" s="40" t="str">
        <x:v>問題拆解</x:v>
      </x:c>
      <x:c r="M64" s="40" t="str">
        <x:v>確認 Python/VS Code 或瀏覽器編輯器；建立每堂課專案資料夾。</x:v>
      </x:c>
      <x:c r="N64" s="40" t="str">
        <x:v>15–30 分鐘自由改造；寫三句學習日誌：我做了什麼、哪裡卡住、下次想加什麼。</x:v>
      </x:c>
      <x:c r="O64" s="40" t="str">
        <x:v>完成「測試紀錄＋Beta」；能不用看稿說出核心原理；能指出至少一個錯誤、限制或安全注意事項。</x:v>
      </x:c>
      <x:c r="P64" s="40" t="str">
        <x:v>R16</x:v>
      </x:c>
      <x:c r="Q64" s="40" t="str">
        <x:v>https://docs.python.org/3/tutorial/index.html</x:v>
      </x:c>
      <x:c r="R64" s="40" t="str">
        <x:v>請孩子回答：1. 測試與除錯：找出最短破關路線在解決什麼？2. 我怎麼做？3. 哪裡容易錯？4. 生活中哪裡會用到？</x:v>
      </x:c>
      <x:c r="S64" s="40" t="str">
        <x:v>父子科技課 #063｜測試與除錯：找出最短破關路線</x:v>
      </x:c>
      <x:c r="T64" s="40" t="n">
        <x:v>3</x:v>
      </x:c>
      <x:c r="U64" s="38" t="str">
        <x:v>測試與除錯 找出最短破關路線 Python programming beginner beginner tutorial Python</x:v>
      </x:c>
      <x:c r="V64" s="38" t="str">
        <x:v>https://www.youtube.com/results?search_query=%E6%B8%AC%E8%A9%A6%E8%88%87%E9%99%A4%E9%8C%AF+%E6%89%BE%E5%87%BA%E6%9C%80%E7%9F%AD%E7%A0%B4%E9%97%9C%E8%B7%AF%E7%B7%9A+Python+programming+beginner+beginner+tutorial+Python</x:v>
      </x:c>
      <x:c r="W64" s="38" t="str">
        <x:v>課前暖身</x:v>
      </x:c>
      <x:c r="X64" s="38" t="str">
        <x:v>測試與除錯 找出最短破關路線 建立測試案例、邊界條件與 Bug 清單 hands on project for kids Python programming beginner</x:v>
      </x:c>
      <x:c r="Y64" s="38" t="str">
        <x:v>https://www.youtube.com/results?search_query=%E6%B8%AC%E8%A9%A6%E8%88%87%E9%99%A4%E9%8C%AF+%E6%89%BE%E5%87%BA%E6%9C%80%E7%9F%AD%E7%A0%B4%E9%97%9C%E8%B7%AF%E7%B7%9A+%E5%BB%BA%E7%AB%8B%E6%B8%AC%E8%A9%A6%E6%A1%88%E4%BE%8B%E3%80%81%E9%82%8A%E7%95%8C%E6%A2%9D%E4%BB%B6%E8%88%87+Bug+%E6%B8%85%E5%96%AE+hands+on+project+for+kids+Python+programming+beginner</x:v>
      </x:c>
      <x:c r="Z64" s="38" t="str">
        <x:v>課中實作參考</x:v>
      </x:c>
      <x:c r="AA64" s="38" t="str">
        <x:v>測試與除錯 找出最短破關路線 中文 教學 原理 安全 親子 Python programming beginner</x:v>
      </x:c>
      <x:c r="AB64" s="38" t="str">
        <x:v>https://www.youtube.com/results?search_query=%E6%B8%AC%E8%A9%A6%E8%88%87%E9%99%A4%E9%8C%AF+%E6%89%BE%E5%87%BA%E6%9C%80%E7%9F%AD%E7%A0%B4%E9%97%9C%E8%B7%AF%E7%B7%9A+%E4%B8%AD%E6%96%87+%E6%95%99%E5%AD%B8+%E5%8E%9F%E7%90%86+%E5%AE%89%E5%85%A8+%E8%A6%AA%E5%AD%90+Python+programming+beginner</x:v>
      </x:c>
      <x:c r="AC64" s="38" t="str">
        <x:v>課後延伸／親子討論</x:v>
      </x:c>
    </x:row>
    <x:row r="65" ht="105" customHeight="1">
      <x:c r="A65" s="40" t="n">
        <x:v>64</x:v>
      </x:c>
      <x:c r="B65" s="40" t="str">
        <x:v>第 2 年</x:v>
      </x:c>
      <x:c r="C65" s="40" t="str">
        <x:v>M04 Python 冒險：從文字到小遊戲</x:v>
      </x:c>
      <x:c r="D65" s="40" t="n">
        <x:v>16</x:v>
      </x:c>
      <x:c r="E65" s="40" t="str">
        <x:v>發布 v1.0：寫給玩家的說明</x:v>
      </x:c>
      <x:c r="F65" s="40" t="str">
        <x:v>Python／邏輯／資料結構／文字遊戲</x:v>
      </x:c>
      <x:c r="G65" s="40" t="str">
        <x:v>練習 README、操作說明、版本紀錄與展示</x:v>
      </x:c>
      <x:c r="H65" s="40" t="str">
        <x:v>00–10 任務開場：發布 v1.0：寫給玩家的說明
10–25 概念示範：練習 README、操作說明、版本紀錄與展示
25–65 父子共同實作：錄製 3 分鐘實機展示，附安裝/執行說明
65–75 休息／走動／聊天
75–105 孩子獨立改造：增加一個自選規則或功能
105–115 角色互換：孩子教爸爸操作與原理
115–120 錄音總結、作品命名、版本存檔</x:v>
      </x:c>
      <x:c r="I65" s="40" t="str">
        <x:v>錄製 3 分鐘實機展示，附安裝/執行說明</x:v>
      </x:c>
      <x:c r="J65" s="40" t="str">
        <x:v>解鎖成就</x:v>
      </x:c>
      <x:c r="K65" s="40" t="str">
        <x:v>RPG v1.0＋README</x:v>
      </x:c>
      <x:c r="L65" s="40" t="str">
        <x:v>邏輯與耐心</x:v>
      </x:c>
      <x:c r="M65" s="40" t="str">
        <x:v>確認 Python/VS Code 或瀏覽器編輯器；建立每堂課專案資料夾。</x:v>
      </x:c>
      <x:c r="N65" s="40" t="str">
        <x:v>15–30 分鐘自由改造；寫三句學習日誌：我做了什麼、哪裡卡住、下次想加什麼。</x:v>
      </x:c>
      <x:c r="O65" s="40" t="str">
        <x:v>完成「RPG v1.0＋README」；能不用看稿說出核心原理；能指出至少一個錯誤、限制或安全注意事項。</x:v>
      </x:c>
      <x:c r="P65" s="40" t="str">
        <x:v>R14</x:v>
      </x:c>
      <x:c r="Q65" s="40" t="str">
        <x:v>https://skills.github.com/</x:v>
      </x:c>
      <x:c r="R65" s="40" t="str">
        <x:v>請孩子回答：1. 發布 v1.0：寫給玩家的說明在解決什麼？2. 我怎麼做？3. 哪裡容易錯？4. 生活中哪裡會用到？</x:v>
      </x:c>
      <x:c r="S65" s="40" t="str">
        <x:v>父子科技課 #064｜發布 v1.0：寫給玩家的說明</x:v>
      </x:c>
      <x:c r="T65" s="40" t="n">
        <x:v>3</x:v>
      </x:c>
      <x:c r="U65" s="38" t="str">
        <x:v>發布 v1.0 寫給玩家的說明 Python programming beginner beginner tutorial Python</x:v>
      </x:c>
      <x:c r="V65" s="38" t="str">
        <x:v>https://www.youtube.com/results?search_query=%E7%99%BC%E5%B8%83+v1.0+%E5%AF%AB%E7%B5%A6%E7%8E%A9%E5%AE%B6%E7%9A%84%E8%AA%AA%E6%98%8E+Python+programming+beginner+beginner+tutorial+Python</x:v>
      </x:c>
      <x:c r="W65" s="38" t="str">
        <x:v>課前暖身</x:v>
      </x:c>
      <x:c r="X65" s="38" t="str">
        <x:v>發布 v1.0 寫給玩家的說明 練習 README、操作說明、版本紀錄與展示 hands on project for kids Python programming beginner</x:v>
      </x:c>
      <x:c r="Y65" s="38" t="str">
        <x:v>https://www.youtube.com/results?search_query=%E7%99%BC%E5%B8%83+v1.0+%E5%AF%AB%E7%B5%A6%E7%8E%A9%E5%AE%B6%E7%9A%84%E8%AA%AA%E6%98%8E+%E7%B7%B4%E7%BF%92+README%E3%80%81%E6%93%8D%E4%BD%9C%E8%AA%AA%E6%98%8E%E3%80%81%E7%89%88%E6%9C%AC%E7%B4%80%E9%8C%84%E8%88%87%E5%B1%95%E7%A4%BA+hands+on+project+for+kids+Python+programming+beginner</x:v>
      </x:c>
      <x:c r="Z65" s="38" t="str">
        <x:v>課中實作參考</x:v>
      </x:c>
      <x:c r="AA65" s="38" t="str">
        <x:v>發布 v1.0 寫給玩家的說明 中文 教學 原理 安全 親子 Python programming beginner</x:v>
      </x:c>
      <x:c r="AB65" s="38" t="str">
        <x:v>https://www.youtube.com/results?search_query=%E7%99%BC%E5%B8%83+v1.0+%E5%AF%AB%E7%B5%A6%E7%8E%A9%E5%AE%B6%E7%9A%84%E8%AA%AA%E6%98%8E+%E4%B8%AD%E6%96%87+%E6%95%99%E5%AD%B8+%E5%8E%9F%E7%90%86+%E5%AE%89%E5%85%A8+%E8%A6%AA%E5%AD%90+Python+programming+beginner</x:v>
      </x:c>
      <x:c r="AC65" s="38" t="str">
        <x:v>課後延伸／親子討論</x:v>
      </x:c>
    </x:row>
    <x:row r="66" ht="105" customHeight="1">
      <x:c r="A66" s="40" t="n">
        <x:v>65</x:v>
      </x:c>
      <x:c r="B66" s="40" t="str">
        <x:v>第 2 年</x:v>
      </x:c>
      <x:c r="C66" s="40" t="str">
        <x:v>M05 Web 創作者：我的第一個網站</x:v>
      </x:c>
      <x:c r="D66" s="40" t="n">
        <x:v>1</x:v>
      </x:c>
      <x:c r="E66" s="40" t="str">
        <x:v>網頁、網站、瀏覽器與伺服器</x:v>
      </x:c>
      <x:c r="F66" s="40" t="str">
        <x:v>HTML／CSS／JavaScript／Web 發布</x:v>
      </x:c>
      <x:c r="G66" s="40" t="str">
        <x:v>理解 URL、HTTP、前端檔案與請求回應</x:v>
      </x:c>
      <x:c r="H66" s="40" t="str">
        <x:v>00–10 任務開場：網頁、網站、瀏覽器與伺服器
10–25 概念示範：理解 URL、HTTP、前端檔案與請求回應
25–65 父子共同實作：用紙卡扮演瀏覽器向伺服器索取 HTML/CSS/JS
65–75 休息／走動／聊天
75–105 孩子獨立改造：增加一個自選規則或功能
105–115 角色互換：孩子教爸爸操作與原理
115–120 錄音總結、作品命名、版本存檔</x:v>
      </x:c>
      <x:c r="I66" s="40" t="str">
        <x:v>用紙卡扮演瀏覽器向伺服器索取 HTML/CSS/JS</x:v>
      </x:c>
      <x:c r="J66" s="40" t="str">
        <x:v>臨摹挑戰</x:v>
      </x:c>
      <x:c r="K66" s="40" t="str">
        <x:v>Web 流程圖</x:v>
      </x:c>
      <x:c r="L66" s="40" t="str">
        <x:v>創意與設計</x:v>
      </x:c>
      <x:c r="M66" s="40" t="str">
        <x:v>確認 VS Code、瀏覽器與 GitHub；先建立練習用 repository。</x:v>
      </x:c>
      <x:c r="N66" s="40" t="str">
        <x:v>15–30 分鐘自由改造；寫三句學習日誌：我做了什麼、哪裡卡住、下次想加什麼。</x:v>
      </x:c>
      <x:c r="O66" s="40" t="str">
        <x:v>完成「Web 流程圖」；能不用看稿說出核心原理；能指出至少一個錯誤、限制或安全注意事項。</x:v>
      </x:c>
      <x:c r="P66" s="40" t="str">
        <x:v>R17</x:v>
      </x:c>
      <x:c r="Q66" s="40" t="str">
        <x:v>https://developer.mozilla.org/en-US/docs/Learn_web_development</x:v>
      </x:c>
      <x:c r="R66" s="40" t="str">
        <x:v>請孩子回答：1. 網頁、網站、瀏覽器與伺服器在解決什麼？2. 我怎麼做？3. 哪裡容易錯？4. 生活中哪裡會用到？</x:v>
      </x:c>
      <x:c r="S66" s="40" t="str">
        <x:v>父子科技課 #065｜網頁、網站、瀏覽器與伺服器</x:v>
      </x:c>
      <x:c r="T66" s="40" t="n">
        <x:v>2</x:v>
      </x:c>
      <x:c r="U66" s="38" t="str">
        <x:v>網頁、網站、瀏覽器與伺服器 HTML CSS JavaScript web development beginner tutorial MDN</x:v>
      </x:c>
      <x:c r="V66" s="38" t="str">
        <x:v>https://www.youtube.com/results?search_query=%E7%B6%B2%E9%A0%81%E3%80%81%E7%B6%B2%E7%AB%99%E3%80%81%E7%80%8F%E8%A6%BD%E5%99%A8%E8%88%87%E4%BC%BA%E6%9C%8D%E5%99%A8+HTML+CSS+JavaScript+web+development+beginner+tutorial+MDN</x:v>
      </x:c>
      <x:c r="W66" s="38" t="str">
        <x:v>課前暖身</x:v>
      </x:c>
      <x:c r="X66" s="38" t="str">
        <x:v>網頁、網站、瀏覽器與伺服器 理解 URL、HTTP、前端檔案與請求回應 hands on project for kids HTML CSS JavaScript web development</x:v>
      </x:c>
      <x:c r="Y66" s="38" t="str">
        <x:v>https://www.youtube.com/results?search_query=%E7%B6%B2%E9%A0%81%E3%80%81%E7%B6%B2%E7%AB%99%E3%80%81%E7%80%8F%E8%A6%BD%E5%99%A8%E8%88%87%E4%BC%BA%E6%9C%8D%E5%99%A8+%E7%90%86%E8%A7%A3+URL%E3%80%81HTTP%E3%80%81%E5%89%8D%E7%AB%AF%E6%AA%94%E6%A1%88%E8%88%87%E8%AB%8B%E6%B1%82%E5%9B%9E%E6%87%89+hands+on+project+for+kids+HTML+CSS+JavaScript+web+development</x:v>
      </x:c>
      <x:c r="Z66" s="38" t="str">
        <x:v>課中實作參考</x:v>
      </x:c>
      <x:c r="AA66" s="38" t="str">
        <x:v>網頁、網站、瀏覽器與伺服器 中文 教學 原理 安全 親子 HTML CSS JavaScript web development</x:v>
      </x:c>
      <x:c r="AB66" s="38" t="str">
        <x:v>https://www.youtube.com/results?search_query=%E7%B6%B2%E9%A0%81%E3%80%81%E7%B6%B2%E7%AB%99%E3%80%81%E7%80%8F%E8%A6%BD%E5%99%A8%E8%88%87%E4%BC%BA%E6%9C%8D%E5%99%A8+%E4%B8%AD%E6%96%87+%E6%95%99%E5%AD%B8+%E5%8E%9F%E7%90%86+%E5%AE%89%E5%85%A8+%E8%A6%AA%E5%AD%90+HTML+CSS+JavaScript+web+development</x:v>
      </x:c>
      <x:c r="AC66" s="38" t="str">
        <x:v>課後延伸／親子討論</x:v>
      </x:c>
    </x:row>
    <x:row r="67" ht="105" customHeight="1">
      <x:c r="A67" s="40" t="n">
        <x:v>66</x:v>
      </x:c>
      <x:c r="B67" s="40" t="str">
        <x:v>第 2 年</x:v>
      </x:c>
      <x:c r="C67" s="40" t="str">
        <x:v>M05 Web 創作者：我的第一個網站</x:v>
      </x:c>
      <x:c r="D67" s="40" t="n">
        <x:v>2</x:v>
      </x:c>
      <x:c r="E67" s="40" t="str">
        <x:v>HTML 骨架：內容的房子</x:v>
      </x:c>
      <x:c r="F67" s="40" t="str">
        <x:v>HTML／CSS／JavaScript／Web 發布</x:v>
      </x:c>
      <x:c r="G67" s="40" t="str">
        <x:v>使用 doctype、html、head、body、標題與段落</x:v>
      </x:c>
      <x:c r="H67" s="40" t="str">
        <x:v>00–10 任務開場：HTML 骨架：內容的房子
10–25 概念示範：使用 doctype、html、head、body、標題與段落
25–65 父子共同實作：建立『我的科技收藏』第一頁
65–75 休息／走動／聊天
75–105 孩子獨立改造：增加一個自選規則或功能
105–115 角色互換：孩子教爸爸操作與原理
115–120 錄音總結、作品命名、版本存檔</x:v>
      </x:c>
      <x:c r="I67" s="40" t="str">
        <x:v>建立『我的科技收藏』第一頁</x:v>
      </x:c>
      <x:c r="J67" s="40" t="str">
        <x:v>行動裝置測試</x:v>
      </x:c>
      <x:c r="K67" s="40" t="str">
        <x:v>index.html</x:v>
      </x:c>
      <x:c r="L67" s="40" t="str">
        <x:v>設計同理</x:v>
      </x:c>
      <x:c r="M67" s="40" t="str">
        <x:v>確認 VS Code、瀏覽器與 GitHub；先建立練習用 repository。</x:v>
      </x:c>
      <x:c r="N67" s="40" t="str">
        <x:v>15–30 分鐘自由改造；寫三句學習日誌：我做了什麼、哪裡卡住、下次想加什麼。</x:v>
      </x:c>
      <x:c r="O67" s="40" t="str">
        <x:v>完成「index.html」；能不用看稿說出核心原理；能指出至少一個錯誤、限制或安全注意事項。</x:v>
      </x:c>
      <x:c r="P67" s="40" t="str">
        <x:v>R17</x:v>
      </x:c>
      <x:c r="Q67" s="40" t="str">
        <x:v>https://developer.mozilla.org/en-US/docs/Learn_web_development</x:v>
      </x:c>
      <x:c r="R67" s="40" t="str">
        <x:v>請孩子回答：1. HTML 骨架：內容的房子在解決什麼？2. 我怎麼做？3. 哪裡容易錯？4. 生活中哪裡會用到？</x:v>
      </x:c>
      <x:c r="S67" s="40" t="str">
        <x:v>父子科技課 #066｜HTML 骨架：內容的房子</x:v>
      </x:c>
      <x:c r="T67" s="40" t="n">
        <x:v>2</x:v>
      </x:c>
      <x:c r="U67" s="38" t="str">
        <x:v>HTML 骨架 內容的房子 HTML CSS JavaScript web development beginner tutorial MDN</x:v>
      </x:c>
      <x:c r="V67" s="38" t="str">
        <x:v>https://www.youtube.com/results?search_query=HTML+%E9%AA%A8%E6%9E%B6+%E5%85%A7%E5%AE%B9%E7%9A%84%E6%88%BF%E5%AD%90+HTML+CSS+JavaScript+web+development+beginner+tutorial+MDN</x:v>
      </x:c>
      <x:c r="W67" s="38" t="str">
        <x:v>課前暖身</x:v>
      </x:c>
      <x:c r="X67" s="38" t="str">
        <x:v>HTML 骨架 內容的房子 使用 doctype、html、head、body、標題與段落 hands on project for kids HTML CSS JavaScript web</x:v>
      </x:c>
      <x:c r="Y67" s="38" t="str">
        <x:v>https://www.youtube.com/results?search_query=HTML+%E9%AA%A8%E6%9E%B6+%E5%85%A7%E5%AE%B9%E7%9A%84%E6%88%BF%E5%AD%90+%E4%BD%BF%E7%94%A8+doctype%E3%80%81html%E3%80%81head%E3%80%81body%E3%80%81%E6%A8%99%E9%A1%8C%E8%88%87%E6%AE%B5%E8%90%BD+hands+on+project+for+kids+HTML+CSS+JavaScript+web+development</x:v>
      </x:c>
      <x:c r="Z67" s="38" t="str">
        <x:v>課中實作參考</x:v>
      </x:c>
      <x:c r="AA67" s="38" t="str">
        <x:v>HTML 骨架 內容的房子 中文 教學 原理 安全 親子 HTML CSS JavaScript web development</x:v>
      </x:c>
      <x:c r="AB67" s="38" t="str">
        <x:v>https://www.youtube.com/results?search_query=HTML+%E9%AA%A8%E6%9E%B6+%E5%85%A7%E5%AE%B9%E7%9A%84%E6%88%BF%E5%AD%90+%E4%B8%AD%E6%96%87+%E6%95%99%E5%AD%B8+%E5%8E%9F%E7%90%86+%E5%AE%89%E5%85%A8+%E8%A6%AA%E5%AD%90+HTML+CSS+JavaScript+web+development</x:v>
      </x:c>
      <x:c r="AC67" s="38" t="str">
        <x:v>課後延伸／親子討論</x:v>
      </x:c>
    </x:row>
    <x:row r="68" ht="105" customHeight="1">
      <x:c r="A68" s="40" t="n">
        <x:v>67</x:v>
      </x:c>
      <x:c r="B68" s="40" t="str">
        <x:v>第 2 年</x:v>
      </x:c>
      <x:c r="C68" s="40" t="str">
        <x:v>M05 Web 創作者：我的第一個網站</x:v>
      </x:c>
      <x:c r="D68" s="40" t="n">
        <x:v>3</x:v>
      </x:c>
      <x:c r="E68" s="40" t="str">
        <x:v>連結、圖片與清單</x:v>
      </x:c>
      <x:c r="F68" s="40" t="str">
        <x:v>HTML／CSS／JavaScript／Web 發布</x:v>
      </x:c>
      <x:c r="G68" s="40" t="str">
        <x:v>正確使用相對路徑、alt 文字與語意清單</x:v>
      </x:c>
      <x:c r="H68" s="40" t="str">
        <x:v>00–10 任務開場：連結、圖片與清單
10–25 概念示範：正確使用相對路徑、alt 文字與語意清單
25–65 父子共同實作：做三件收藏品的導覽頁與圖片說明
65–75 休息／走動／聊天
75–105 孩子獨立改造：增加一個自選規則或功能
105–115 角色互換：孩子教爸爸操作與原理
115–120 錄音總結、作品命名、版本存檔</x:v>
      </x:c>
      <x:c r="I68" s="40" t="str">
        <x:v>做三件收藏品的導覽頁與圖片說明</x:v>
      </x:c>
      <x:c r="J68" s="40" t="str">
        <x:v>線上展覽</x:v>
      </x:c>
      <x:c r="K68" s="40" t="str">
        <x:v>多頁導覽網站</x:v>
      </x:c>
      <x:c r="L68" s="40" t="str">
        <x:v>設計同理</x:v>
      </x:c>
      <x:c r="M68" s="40" t="str">
        <x:v>確認 VS Code、瀏覽器與 GitHub；先建立練習用 repository。</x:v>
      </x:c>
      <x:c r="N68" s="40" t="str">
        <x:v>15–30 分鐘自由改造；寫三句學習日誌：我做了什麼、哪裡卡住、下次想加什麼。</x:v>
      </x:c>
      <x:c r="O68" s="40" t="str">
        <x:v>完成「多頁導覽網站」；能不用看稿說出核心原理；能指出至少一個錯誤、限制或安全注意事項。</x:v>
      </x:c>
      <x:c r="P68" s="40" t="str">
        <x:v>R17</x:v>
      </x:c>
      <x:c r="Q68" s="40" t="str">
        <x:v>https://developer.mozilla.org/en-US/docs/Learn_web_development</x:v>
      </x:c>
      <x:c r="R68" s="40" t="str">
        <x:v>請孩子回答：1. 連結、圖片與清單在解決什麼？2. 我怎麼做？3. 哪裡容易錯？4. 生活中哪裡會用到？</x:v>
      </x:c>
      <x:c r="S68" s="40" t="str">
        <x:v>父子科技課 #067｜連結、圖片與清單</x:v>
      </x:c>
      <x:c r="T68" s="40" t="n">
        <x:v>2</x:v>
      </x:c>
      <x:c r="U68" s="38" t="str">
        <x:v>連結、圖片與清單 HTML CSS JavaScript web development beginner tutorial MDN</x:v>
      </x:c>
      <x:c r="V68" s="38" t="str">
        <x:v>https://www.youtube.com/results?search_query=%E9%80%A3%E7%B5%90%E3%80%81%E5%9C%96%E7%89%87%E8%88%87%E6%B8%85%E5%96%AE+HTML+CSS+JavaScript+web+development+beginner+tutorial+MDN</x:v>
      </x:c>
      <x:c r="W68" s="38" t="str">
        <x:v>課前暖身</x:v>
      </x:c>
      <x:c r="X68" s="38" t="str">
        <x:v>連結、圖片與清單 正確使用相對路徑、alt 文字與語意清單 hands on project for kids HTML CSS JavaScript web development</x:v>
      </x:c>
      <x:c r="Y68" s="38" t="str">
        <x:v>https://www.youtube.com/results?search_query=%E9%80%A3%E7%B5%90%E3%80%81%E5%9C%96%E7%89%87%E8%88%87%E6%B8%85%E5%96%AE+%E6%AD%A3%E7%A2%BA%E4%BD%BF%E7%94%A8%E7%9B%B8%E5%B0%8D%E8%B7%AF%E5%BE%91%E3%80%81alt+%E6%96%87%E5%AD%97%E8%88%87%E8%AA%9E%E6%84%8F%E6%B8%85%E5%96%AE+hands+on+project+for+kids+HTML+CSS+JavaScript+web+development</x:v>
      </x:c>
      <x:c r="Z68" s="38" t="str">
        <x:v>課中實作參考</x:v>
      </x:c>
      <x:c r="AA68" s="38" t="str">
        <x:v>連結、圖片與清單 中文 教學 原理 安全 親子 HTML CSS JavaScript web development</x:v>
      </x:c>
      <x:c r="AB68" s="38" t="str">
        <x:v>https://www.youtube.com/results?search_query=%E9%80%A3%E7%B5%90%E3%80%81%E5%9C%96%E7%89%87%E8%88%87%E6%B8%85%E5%96%AE+%E4%B8%AD%E6%96%87+%E6%95%99%E5%AD%B8+%E5%8E%9F%E7%90%86+%E5%AE%89%E5%85%A8+%E8%A6%AA%E5%AD%90+HTML+CSS+JavaScript+web+development</x:v>
      </x:c>
      <x:c r="AC68" s="38" t="str">
        <x:v>課後延伸／親子討論</x:v>
      </x:c>
    </x:row>
    <x:row r="69" ht="105" customHeight="1">
      <x:c r="A69" s="40" t="n">
        <x:v>68</x:v>
      </x:c>
      <x:c r="B69" s="40" t="str">
        <x:v>第 2 年</x:v>
      </x:c>
      <x:c r="C69" s="40" t="str">
        <x:v>M05 Web 創作者：我的第一個網站</x:v>
      </x:c>
      <x:c r="D69" s="40" t="n">
        <x:v>4</x:v>
      </x:c>
      <x:c r="E69" s="40" t="str">
        <x:v>CSS 上色但不失控</x:v>
      </x:c>
      <x:c r="F69" s="40" t="str">
        <x:v>HTML／CSS／JavaScript／Web 發布</x:v>
      </x:c>
      <x:c r="G69" s="40" t="str">
        <x:v>使用 selector、class、顏色、字體與繼承</x:v>
      </x:c>
      <x:c r="H69" s="40" t="str">
        <x:v>00–10 任務開場：CSS 上色但不失控
10–25 概念示範：使用 selector、class、顏色、字體與繼承
25–65 父子共同實作：設計兩套主題，一鍵更換科技館風格
65–75 休息／走動／聊天
75–105 孩子獨立改造：增加一個自選規則或功能
105–115 角色互換：孩子教爸爸操作與原理
115–120 錄音總結、作品命名、版本存檔</x:v>
      </x:c>
      <x:c r="I69" s="40" t="str">
        <x:v>設計兩套主題，一鍵更換科技館風格</x:v>
      </x:c>
      <x:c r="J69" s="40" t="str">
        <x:v>設計改造</x:v>
      </x:c>
      <x:c r="K69" s="40" t="str">
        <x:v>theme.css</x:v>
      </x:c>
      <x:c r="L69" s="40" t="str">
        <x:v>設計同理</x:v>
      </x:c>
      <x:c r="M69" s="40" t="str">
        <x:v>確認 VS Code、瀏覽器與 GitHub；先建立練習用 repository。</x:v>
      </x:c>
      <x:c r="N69" s="40" t="str">
        <x:v>15–30 分鐘自由改造；寫三句學習日誌：我做了什麼、哪裡卡住、下次想加什麼。</x:v>
      </x:c>
      <x:c r="O69" s="40" t="str">
        <x:v>完成「theme.css」；能不用看稿說出核心原理；能指出至少一個錯誤、限制或安全注意事項。</x:v>
      </x:c>
      <x:c r="P69" s="40" t="str">
        <x:v>R17</x:v>
      </x:c>
      <x:c r="Q69" s="40" t="str">
        <x:v>https://developer.mozilla.org/en-US/docs/Learn_web_development</x:v>
      </x:c>
      <x:c r="R69" s="40" t="str">
        <x:v>請孩子回答：1. CSS 上色但不失控在解決什麼？2. 我怎麼做？3. 哪裡容易錯？4. 生活中哪裡會用到？</x:v>
      </x:c>
      <x:c r="S69" s="40" t="str">
        <x:v>父子科技課 #068｜CSS 上色但不失控</x:v>
      </x:c>
      <x:c r="T69" s="40" t="n">
        <x:v>2</x:v>
      </x:c>
      <x:c r="U69" s="38" t="str">
        <x:v>CSS 上色但不失控 HTML CSS JavaScript web development beginner tutorial MDN</x:v>
      </x:c>
      <x:c r="V69" s="38" t="str">
        <x:v>https://www.youtube.com/results?search_query=CSS+%E4%B8%8A%E8%89%B2%E4%BD%86%E4%B8%8D%E5%A4%B1%E6%8E%A7+HTML+CSS+JavaScript+web+development+beginner+tutorial+MDN</x:v>
      </x:c>
      <x:c r="W69" s="38" t="str">
        <x:v>課前暖身</x:v>
      </x:c>
      <x:c r="X69" s="38" t="str">
        <x:v>CSS 上色但不失控 使用 selector、class、顏色、字體與繼承 hands on project for kids HTML CSS JavaScript web development</x:v>
      </x:c>
      <x:c r="Y69" s="38" t="str">
        <x:v>https://www.youtube.com/results?search_query=CSS+%E4%B8%8A%E8%89%B2%E4%BD%86%E4%B8%8D%E5%A4%B1%E6%8E%A7+%E4%BD%BF%E7%94%A8+selector%E3%80%81class%E3%80%81%E9%A1%8F%E8%89%B2%E3%80%81%E5%AD%97%E9%AB%94%E8%88%87%E7%B9%BC%E6%89%BF+hands+on+project+for+kids+HTML+CSS+JavaScript+web+development</x:v>
      </x:c>
      <x:c r="Z69" s="38" t="str">
        <x:v>課中實作參考</x:v>
      </x:c>
      <x:c r="AA69" s="38" t="str">
        <x:v>CSS 上色但不失控 中文 教學 原理 安全 親子 HTML CSS JavaScript web development</x:v>
      </x:c>
      <x:c r="AB69" s="38" t="str">
        <x:v>https://www.youtube.com/results?search_query=CSS+%E4%B8%8A%E8%89%B2%E4%BD%86%E4%B8%8D%E5%A4%B1%E6%8E%A7+%E4%B8%AD%E6%96%87+%E6%95%99%E5%AD%B8+%E5%8E%9F%E7%90%86+%E5%AE%89%E5%85%A8+%E8%A6%AA%E5%AD%90+HTML+CSS+JavaScript+web+development</x:v>
      </x:c>
      <x:c r="AC69" s="38" t="str">
        <x:v>課後延伸／親子討論</x:v>
      </x:c>
    </x:row>
    <x:row r="70" ht="105" customHeight="1">
      <x:c r="A70" s="40" t="n">
        <x:v>69</x:v>
      </x:c>
      <x:c r="B70" s="40" t="str">
        <x:v>第 2 年</x:v>
      </x:c>
      <x:c r="C70" s="40" t="str">
        <x:v>M05 Web 創作者：我的第一個網站</x:v>
      </x:c>
      <x:c r="D70" s="40" t="n">
        <x:v>5</x:v>
      </x:c>
      <x:c r="E70" s="40" t="str">
        <x:v>Box Model：每個元素都有盒子</x:v>
      </x:c>
      <x:c r="F70" s="40" t="str">
        <x:v>HTML／CSS／JavaScript／Web 發布</x:v>
      </x:c>
      <x:c r="G70" s="40" t="str">
        <x:v>理解 margin、border、padding、width</x:v>
      </x:c>
      <x:c r="H70" s="40" t="str">
        <x:v>00–10 任務開場：Box Model：每個元素都有盒子
10–25 概念示範：理解 margin、border、padding、width
25–65 父子共同實作：用瀏覽器開發者工具解剖一張卡片
65–75 休息／走動／聊天
75–105 孩子獨立改造：增加一個自選規則或功能
105–115 角色互換：孩子教爸爸操作與原理
115–120 錄音總結、作品命名、版本存檔</x:v>
      </x:c>
      <x:c r="I70" s="40" t="str">
        <x:v>用瀏覽器開發者工具解剖一張卡片</x:v>
      </x:c>
      <x:c r="J70" s="40" t="str">
        <x:v>臨摹挑戰</x:v>
      </x:c>
      <x:c r="K70" s="40" t="str">
        <x:v>收藏卡片元件</x:v>
      </x:c>
      <x:c r="L70" s="40" t="str">
        <x:v>設計同理</x:v>
      </x:c>
      <x:c r="M70" s="40" t="str">
        <x:v>確認 VS Code、瀏覽器與 GitHub；先建立練習用 repository。</x:v>
      </x:c>
      <x:c r="N70" s="40" t="str">
        <x:v>15–30 分鐘自由改造；寫三句學習日誌：我做了什麼、哪裡卡住、下次想加什麼。</x:v>
      </x:c>
      <x:c r="O70" s="40" t="str">
        <x:v>完成「收藏卡片元件」；能不用看稿說出核心原理；能指出至少一個錯誤、限制或安全注意事項。</x:v>
      </x:c>
      <x:c r="P70" s="40" t="str">
        <x:v>R17</x:v>
      </x:c>
      <x:c r="Q70" s="40" t="str">
        <x:v>https://developer.mozilla.org/en-US/docs/Learn_web_development</x:v>
      </x:c>
      <x:c r="R70" s="40" t="str">
        <x:v>請孩子回答：1. Box Model：每個元素都有盒子在解決什麼？2. 我怎麼做？3. 哪裡容易錯？4. 生活中哪裡會用到？</x:v>
      </x:c>
      <x:c r="S70" s="40" t="str">
        <x:v>父子科技課 #069｜Box Model：每個元素都有盒子</x:v>
      </x:c>
      <x:c r="T70" s="40" t="n">
        <x:v>2</x:v>
      </x:c>
      <x:c r="U70" s="38" t="str">
        <x:v>Box Model 每個元素都有盒子 HTML CSS JavaScript web development beginner tutorial MDN</x:v>
      </x:c>
      <x:c r="V70" s="38" t="str">
        <x:v>https://www.youtube.com/results?search_query=Box+Model+%E6%AF%8F%E5%80%8B%E5%85%83%E7%B4%A0%E9%83%BD%E6%9C%89%E7%9B%92%E5%AD%90+HTML+CSS+JavaScript+web+development+beginner+tutorial+MDN</x:v>
      </x:c>
      <x:c r="W70" s="38" t="str">
        <x:v>課前暖身</x:v>
      </x:c>
      <x:c r="X70" s="38" t="str">
        <x:v>Box Model 每個元素都有盒子 理解 margin、border、padding、width hands on project for kids HTML CSS JavaScript web</x:v>
      </x:c>
      <x:c r="Y70" s="38" t="str">
        <x:v>https://www.youtube.com/results?search_query=Box+Model+%E6%AF%8F%E5%80%8B%E5%85%83%E7%B4%A0%E9%83%BD%E6%9C%89%E7%9B%92%E5%AD%90+%E7%90%86%E8%A7%A3+margin%E3%80%81border%E3%80%81padding%E3%80%81width+hands+on+project+for+kids+HTML+CSS+JavaScript+web+development</x:v>
      </x:c>
      <x:c r="Z70" s="38" t="str">
        <x:v>課中實作參考</x:v>
      </x:c>
      <x:c r="AA70" s="38" t="str">
        <x:v>Box Model 每個元素都有盒子 中文 教學 原理 安全 親子 HTML CSS JavaScript web development</x:v>
      </x:c>
      <x:c r="AB70" s="38" t="str">
        <x:v>https://www.youtube.com/results?search_query=Box+Model+%E6%AF%8F%E5%80%8B%E5%85%83%E7%B4%A0%E9%83%BD%E6%9C%89%E7%9B%92%E5%AD%90+%E4%B8%AD%E6%96%87+%E6%95%99%E5%AD%B8+%E5%8E%9F%E7%90%86+%E5%AE%89%E5%85%A8+%E8%A6%AA%E5%AD%90+HTML+CSS+JavaScript+web+development</x:v>
      </x:c>
      <x:c r="AC70" s="38" t="str">
        <x:v>課後延伸／親子討論</x:v>
      </x:c>
    </x:row>
    <x:row r="71" ht="105" customHeight="1">
      <x:c r="A71" s="40" t="n">
        <x:v>70</x:v>
      </x:c>
      <x:c r="B71" s="40" t="str">
        <x:v>第 2 年</x:v>
      </x:c>
      <x:c r="C71" s="40" t="str">
        <x:v>M05 Web 創作者：我的第一個網站</x:v>
      </x:c>
      <x:c r="D71" s="40" t="n">
        <x:v>6</x:v>
      </x:c>
      <x:c r="E71" s="40" t="str">
        <x:v>Flexbox 排版挑戰</x:v>
      </x:c>
      <x:c r="F71" s="40" t="str">
        <x:v>HTML／CSS／JavaScript／Web 發布</x:v>
      </x:c>
      <x:c r="G71" s="40" t="str">
        <x:v>使用 flex 排列、對齊與分配空間</x:v>
      </x:c>
      <x:c r="H71" s="40" t="str">
        <x:v>00–10 任務開場：Flexbox 排版挑戰
10–25 概念示範：使用 flex 排列、對齊與分配空間
25–65 父子共同實作：重現三種卡片布局並解決螢幕寬度變化
65–75 休息／走動／聊天
75–105 孩子獨立改造：增加一個自選規則或功能
105–115 角色互換：孩子教爸爸操作與原理
115–120 錄音總結、作品命名、版本存檔</x:v>
      </x:c>
      <x:c r="I71" s="40" t="str">
        <x:v>重現三種卡片布局並解決螢幕寬度變化</x:v>
      </x:c>
      <x:c r="J71" s="40" t="str">
        <x:v>行動裝置測試</x:v>
      </x:c>
      <x:c r="K71" s="40" t="str">
        <x:v>響應式卡片牆</x:v>
      </x:c>
      <x:c r="L71" s="40" t="str">
        <x:v>設計同理</x:v>
      </x:c>
      <x:c r="M71" s="40" t="str">
        <x:v>確認 VS Code、瀏覽器與 GitHub；先建立練習用 repository。</x:v>
      </x:c>
      <x:c r="N71" s="40" t="str">
        <x:v>15–30 分鐘自由改造；寫三句學習日誌：我做了什麼、哪裡卡住、下次想加什麼。</x:v>
      </x:c>
      <x:c r="O71" s="40" t="str">
        <x:v>完成「響應式卡片牆」；能不用看稿說出核心原理；能指出至少一個錯誤、限制或安全注意事項。</x:v>
      </x:c>
      <x:c r="P71" s="40" t="str">
        <x:v>R17</x:v>
      </x:c>
      <x:c r="Q71" s="40" t="str">
        <x:v>https://developer.mozilla.org/en-US/docs/Learn_web_development</x:v>
      </x:c>
      <x:c r="R71" s="40" t="str">
        <x:v>請孩子回答：1. Flexbox 排版挑戰在解決什麼？2. 我怎麼做？3. 哪裡容易錯？4. 生活中哪裡會用到？</x:v>
      </x:c>
      <x:c r="S71" s="40" t="str">
        <x:v>父子科技課 #070｜Flexbox 排版挑戰</x:v>
      </x:c>
      <x:c r="T71" s="40" t="n">
        <x:v>2</x:v>
      </x:c>
      <x:c r="U71" s="38" t="str">
        <x:v>Flexbox 排版挑戰 HTML CSS JavaScript web development beginner tutorial MDN</x:v>
      </x:c>
      <x:c r="V71" s="38" t="str">
        <x:v>https://www.youtube.com/results?search_query=Flexbox+%E6%8E%92%E7%89%88%E6%8C%91%E6%88%B0+HTML+CSS+JavaScript+web+development+beginner+tutorial+MDN</x:v>
      </x:c>
      <x:c r="W71" s="38" t="str">
        <x:v>課前暖身</x:v>
      </x:c>
      <x:c r="X71" s="38" t="str">
        <x:v>Flexbox 排版挑戰 使用 flex 排列、對齊與分配空間 hands on project for kids HTML CSS JavaScript web</x:v>
      </x:c>
      <x:c r="Y71" s="38" t="str">
        <x:v>https://www.youtube.com/results?search_query=Flexbox+%E6%8E%92%E7%89%88%E6%8C%91%E6%88%B0+%E4%BD%BF%E7%94%A8+flex+%E6%8E%92%E5%88%97%E3%80%81%E5%B0%8D%E9%BD%8A%E8%88%87%E5%88%86%E9%85%8D%E7%A9%BA%E9%96%93+hands+on+project+for+kids+HTML+CSS+JavaScript+web+development</x:v>
      </x:c>
      <x:c r="Z71" s="38" t="str">
        <x:v>課中實作參考</x:v>
      </x:c>
      <x:c r="AA71" s="38" t="str">
        <x:v>Flexbox 排版挑戰 中文 教學 原理 安全 親子 HTML CSS JavaScript web development</x:v>
      </x:c>
      <x:c r="AB71" s="38" t="str">
        <x:v>https://www.youtube.com/results?search_query=Flexbox+%E6%8E%92%E7%89%88%E6%8C%91%E6%88%B0+%E4%B8%AD%E6%96%87+%E6%95%99%E5%AD%B8+%E5%8E%9F%E7%90%86+%E5%AE%89%E5%85%A8+%E8%A6%AA%E5%AD%90+HTML+CSS+JavaScript+web+development</x:v>
      </x:c>
      <x:c r="AC71" s="38" t="str">
        <x:v>課後延伸／親子討論</x:v>
      </x:c>
    </x:row>
    <x:row r="72" ht="105" customHeight="1">
      <x:c r="A72" s="40" t="n">
        <x:v>71</x:v>
      </x:c>
      <x:c r="B72" s="40" t="str">
        <x:v>第 2 年</x:v>
      </x:c>
      <x:c r="C72" s="40" t="str">
        <x:v>M05 Web 創作者：我的第一個網站</x:v>
      </x:c>
      <x:c r="D72" s="40" t="n">
        <x:v>7</x:v>
      </x:c>
      <x:c r="E72" s="40" t="str">
        <x:v>手機也要好看：Responsive</x:v>
      </x:c>
      <x:c r="F72" s="40" t="str">
        <x:v>HTML／CSS／JavaScript／Web 發布</x:v>
      </x:c>
      <x:c r="G72" s="40" t="str">
        <x:v>使用相對單位、media query 與 mobile-first</x:v>
      </x:c>
      <x:c r="H72" s="40" t="str">
        <x:v>00–10 任務開場：手機也要好看：Responsive
10–25 概念示範：使用相對單位、media query 與 mobile-first
25–65 父子共同實作：把網站縮到手機寬度，逐項修正破版
65–75 休息／走動／聊天
75–105 孩子獨立改造：增加一個自選規則或功能
105–115 角色互換：孩子教爸爸操作與原理
115–120 錄音總結、作品命名、版本存檔</x:v>
      </x:c>
      <x:c r="I72" s="40" t="str">
        <x:v>把網站縮到手機寬度，逐項修正破版</x:v>
      </x:c>
      <x:c r="J72" s="40" t="str">
        <x:v>線上展覽</x:v>
      </x:c>
      <x:c r="K72" s="40" t="str">
        <x:v>手機版網站</x:v>
      </x:c>
      <x:c r="L72" s="40" t="str">
        <x:v>設計同理</x:v>
      </x:c>
      <x:c r="M72" s="40" t="str">
        <x:v>確認 VS Code、瀏覽器與 GitHub；先建立練習用 repository。</x:v>
      </x:c>
      <x:c r="N72" s="40" t="str">
        <x:v>15–30 分鐘自由改造；寫三句學習日誌：我做了什麼、哪裡卡住、下次想加什麼。</x:v>
      </x:c>
      <x:c r="O72" s="40" t="str">
        <x:v>完成「手機版網站」；能不用看稿說出核心原理；能指出至少一個錯誤、限制或安全注意事項。</x:v>
      </x:c>
      <x:c r="P72" s="40" t="str">
        <x:v>R17</x:v>
      </x:c>
      <x:c r="Q72" s="40" t="str">
        <x:v>https://developer.mozilla.org/en-US/docs/Learn_web_development</x:v>
      </x:c>
      <x:c r="R72" s="40" t="str">
        <x:v>請孩子回答：1. 手機也要好看：Responsive在解決什麼？2. 我怎麼做？3. 哪裡容易錯？4. 生活中哪裡會用到？</x:v>
      </x:c>
      <x:c r="S72" s="40" t="str">
        <x:v>父子科技課 #071｜手機也要好看：Responsive</x:v>
      </x:c>
      <x:c r="T72" s="40" t="n">
        <x:v>2</x:v>
      </x:c>
      <x:c r="U72" s="38" t="str">
        <x:v>手機也要好看 Responsive HTML CSS JavaScript web development beginner tutorial MDN</x:v>
      </x:c>
      <x:c r="V72" s="38" t="str">
        <x:v>https://www.youtube.com/results?search_query=%E6%89%8B%E6%A9%9F%E4%B9%9F%E8%A6%81%E5%A5%BD%E7%9C%8B+Responsive+HTML+CSS+JavaScript+web+development+beginner+tutorial+MDN</x:v>
      </x:c>
      <x:c r="W72" s="38" t="str">
        <x:v>課前暖身</x:v>
      </x:c>
      <x:c r="X72" s="38" t="str">
        <x:v>手機也要好看 Responsive 使用相對單位、media query 與 mobile first hands on project for kids HTML CSS</x:v>
      </x:c>
      <x:c r="Y72" s="38" t="str">
        <x:v>https://www.youtube.com/results?search_query=%E6%89%8B%E6%A9%9F%E4%B9%9F%E8%A6%81%E5%A5%BD%E7%9C%8B+Responsive+%E4%BD%BF%E7%94%A8%E7%9B%B8%E5%B0%8D%E5%96%AE%E4%BD%8D%E3%80%81media+query+%E8%88%87+mobile+first+hands+on+project+for+kids+HTML+CSS+JavaScript+web+development</x:v>
      </x:c>
      <x:c r="Z72" s="38" t="str">
        <x:v>課中實作參考</x:v>
      </x:c>
      <x:c r="AA72" s="38" t="str">
        <x:v>手機也要好看 Responsive 中文 教學 原理 安全 親子 HTML CSS JavaScript web development</x:v>
      </x:c>
      <x:c r="AB72" s="38" t="str">
        <x:v>https://www.youtube.com/results?search_query=%E6%89%8B%E6%A9%9F%E4%B9%9F%E8%A6%81%E5%A5%BD%E7%9C%8B+Responsive+%E4%B8%AD%E6%96%87+%E6%95%99%E5%AD%B8+%E5%8E%9F%E7%90%86+%E5%AE%89%E5%85%A8+%E8%A6%AA%E5%AD%90+HTML+CSS+JavaScript+web+development</x:v>
      </x:c>
      <x:c r="AC72" s="38" t="str">
        <x:v>課後延伸／親子討論</x:v>
      </x:c>
    </x:row>
    <x:row r="73" ht="105" customHeight="1">
      <x:c r="A73" s="40" t="n">
        <x:v>72</x:v>
      </x:c>
      <x:c r="B73" s="40" t="str">
        <x:v>第 2 年</x:v>
      </x:c>
      <x:c r="C73" s="40" t="str">
        <x:v>M05 Web 創作者：我的第一個網站</x:v>
      </x:c>
      <x:c r="D73" s="40" t="n">
        <x:v>8</x:v>
      </x:c>
      <x:c r="E73" s="40" t="str">
        <x:v>可及性：不是每個人都一樣使用網頁</x:v>
      </x:c>
      <x:c r="F73" s="40" t="str">
        <x:v>HTML／CSS／JavaScript／Web 發布</x:v>
      </x:c>
      <x:c r="G73" s="40" t="str">
        <x:v>理解語意、鍵盤操作、對比、alt 與標籤</x:v>
      </x:c>
      <x:c r="H73" s="40" t="str">
        <x:v>00–10 任務開場：可及性：不是每個人都一樣使用網頁
10–25 概念示範：理解語意、鍵盤操作、對比、alt 與標籤
25–65 父子共同實作：只用鍵盤完成導覽，修正看不到焦點的元件
65–75 休息／走動／聊天
75–105 孩子獨立改造：增加一個自選規則或功能
105–115 角色互換：孩子教爸爸操作與原理
115–120 錄音總結、作品命名、版本存檔</x:v>
      </x:c>
      <x:c r="I73" s="40" t="str">
        <x:v>只用鍵盤完成導覽，修正看不到焦點的元件</x:v>
      </x:c>
      <x:c r="J73" s="40" t="str">
        <x:v>設計改造</x:v>
      </x:c>
      <x:c r="K73" s="40" t="str">
        <x:v>可及性檢查表</x:v>
      </x:c>
      <x:c r="L73" s="40" t="str">
        <x:v>設計同理</x:v>
      </x:c>
      <x:c r="M73" s="40" t="str">
        <x:v>確認 VS Code、瀏覽器與 GitHub；先建立練習用 repository。</x:v>
      </x:c>
      <x:c r="N73" s="40" t="str">
        <x:v>15–30 分鐘自由改造；寫三句學習日誌：我做了什麼、哪裡卡住、下次想加什麼。</x:v>
      </x:c>
      <x:c r="O73" s="40" t="str">
        <x:v>完成「可及性檢查表」；能不用看稿說出核心原理；能指出至少一個錯誤、限制或安全注意事項。</x:v>
      </x:c>
      <x:c r="P73" s="40" t="str">
        <x:v>R17</x:v>
      </x:c>
      <x:c r="Q73" s="40" t="str">
        <x:v>https://developer.mozilla.org/en-US/docs/Learn_web_development</x:v>
      </x:c>
      <x:c r="R73" s="40" t="str">
        <x:v>請孩子回答：1. 可及性：不是每個人都一樣使用網頁在解決什麼？2. 我怎麼做？3. 哪裡容易錯？4. 生活中哪裡會用到？</x:v>
      </x:c>
      <x:c r="S73" s="40" t="str">
        <x:v>父子科技課 #072｜可及性：不是每個人都一樣使用網頁</x:v>
      </x:c>
      <x:c r="T73" s="40" t="n">
        <x:v>2</x:v>
      </x:c>
      <x:c r="U73" s="38" t="str">
        <x:v>可及性 不是每個人都一樣使用網頁 HTML CSS JavaScript web development beginner tutorial MDN</x:v>
      </x:c>
      <x:c r="V73" s="38" t="str">
        <x:v>https://www.youtube.com/results?search_query=%E5%8F%AF%E5%8F%8A%E6%80%A7+%E4%B8%8D%E6%98%AF%E6%AF%8F%E5%80%8B%E4%BA%BA%E9%83%BD%E4%B8%80%E6%A8%A3%E4%BD%BF%E7%94%A8%E7%B6%B2%E9%A0%81+HTML+CSS+JavaScript+web+development+beginner+tutorial+MDN</x:v>
      </x:c>
      <x:c r="W73" s="38" t="str">
        <x:v>課前暖身</x:v>
      </x:c>
      <x:c r="X73" s="38" t="str">
        <x:v>可及性 不是每個人都一樣使用網頁 理解語意、鍵盤操作、對比、alt 與標籤 hands on project for kids HTML CSS JavaScript web development</x:v>
      </x:c>
      <x:c r="Y73" s="38" t="str">
        <x:v>https://www.youtube.com/results?search_query=%E5%8F%AF%E5%8F%8A%E6%80%A7+%E4%B8%8D%E6%98%AF%E6%AF%8F%E5%80%8B%E4%BA%BA%E9%83%BD%E4%B8%80%E6%A8%A3%E4%BD%BF%E7%94%A8%E7%B6%B2%E9%A0%81+%E7%90%86%E8%A7%A3%E8%AA%9E%E6%84%8F%E3%80%81%E9%8D%B5%E7%9B%A4%E6%93%8D%E4%BD%9C%E3%80%81%E5%B0%8D%E6%AF%94%E3%80%81alt+%E8%88%87%E6%A8%99%E7%B1%A4+hands+on+project+for+kids+HTML+CSS+JavaScript+web+development</x:v>
      </x:c>
      <x:c r="Z73" s="38" t="str">
        <x:v>課中實作參考</x:v>
      </x:c>
      <x:c r="AA73" s="38" t="str">
        <x:v>可及性 不是每個人都一樣使用網頁 中文 教學 原理 安全 親子 HTML CSS JavaScript web development</x:v>
      </x:c>
      <x:c r="AB73" s="38" t="str">
        <x:v>https://www.youtube.com/results?search_query=%E5%8F%AF%E5%8F%8A%E6%80%A7+%E4%B8%8D%E6%98%AF%E6%AF%8F%E5%80%8B%E4%BA%BA%E9%83%BD%E4%B8%80%E6%A8%A3%E4%BD%BF%E7%94%A8%E7%B6%B2%E9%A0%81+%E4%B8%AD%E6%96%87+%E6%95%99%E5%AD%B8+%E5%8E%9F%E7%90%86+%E5%AE%89%E5%85%A8+%E8%A6%AA%E5%AD%90+HTML+CSS+JavaScript+web+development</x:v>
      </x:c>
      <x:c r="AC73" s="38" t="str">
        <x:v>課後延伸／親子討論</x:v>
      </x:c>
    </x:row>
    <x:row r="74" ht="105" customHeight="1">
      <x:c r="A74" s="40" t="n">
        <x:v>73</x:v>
      </x:c>
      <x:c r="B74" s="40" t="str">
        <x:v>第 2 年</x:v>
      </x:c>
      <x:c r="C74" s="40" t="str">
        <x:v>M05 Web 創作者：我的第一個網站</x:v>
      </x:c>
      <x:c r="D74" s="40" t="n">
        <x:v>9</x:v>
      </x:c>
      <x:c r="E74" s="40" t="str">
        <x:v>JavaScript 第一個互動</x:v>
      </x:c>
      <x:c r="F74" s="40" t="str">
        <x:v>HTML／CSS／JavaScript／Web 發布</x:v>
      </x:c>
      <x:c r="G74" s="40" t="str">
        <x:v>理解變數、事件與瀏覽器中的程式</x:v>
      </x:c>
      <x:c r="H74" s="40" t="str">
        <x:v>00–10 任務開場：JavaScript 第一個互動
10–25 概念示範：理解變數、事件與瀏覽器中的程式
25–65 父子共同實作：做一個按鈕改變標題、圖片或主題
65–75 休息／走動／聊天
75–105 孩子獨立改造：增加一個自選規則或功能
105–115 角色互換：孩子教爸爸操作與原理
115–120 錄音總結、作品命名、版本存檔</x:v>
      </x:c>
      <x:c r="I74" s="40" t="str">
        <x:v>做一個按鈕改變標題、圖片或主題</x:v>
      </x:c>
      <x:c r="J74" s="40" t="str">
        <x:v>臨摹挑戰</x:v>
      </x:c>
      <x:c r="K74" s="40" t="str">
        <x:v>互動按鈕</x:v>
      </x:c>
      <x:c r="L74" s="40" t="str">
        <x:v>設計同理</x:v>
      </x:c>
      <x:c r="M74" s="40" t="str">
        <x:v>確認 VS Code、瀏覽器與 GitHub；先建立練習用 repository。</x:v>
      </x:c>
      <x:c r="N74" s="40" t="str">
        <x:v>15–30 分鐘自由改造；寫三句學習日誌：我做了什麼、哪裡卡住、下次想加什麼。</x:v>
      </x:c>
      <x:c r="O74" s="40" t="str">
        <x:v>完成「互動按鈕」；能不用看稿說出核心原理；能指出至少一個錯誤、限制或安全注意事項。</x:v>
      </x:c>
      <x:c r="P74" s="40" t="str">
        <x:v>R17</x:v>
      </x:c>
      <x:c r="Q74" s="40" t="str">
        <x:v>https://developer.mozilla.org/en-US/docs/Learn_web_development</x:v>
      </x:c>
      <x:c r="R74" s="40" t="str">
        <x:v>請孩子回答：1. JavaScript 第一個互動在解決什麼？2. 我怎麼做？3. 哪裡容易錯？4. 生活中哪裡會用到？</x:v>
      </x:c>
      <x:c r="S74" s="40" t="str">
        <x:v>父子科技課 #073｜JavaScript 第一個互動</x:v>
      </x:c>
      <x:c r="T74" s="40" t="n">
        <x:v>3</x:v>
      </x:c>
      <x:c r="U74" s="38" t="str">
        <x:v>JavaScript 第一個互動 HTML CSS JavaScript web development beginner tutorial MDN</x:v>
      </x:c>
      <x:c r="V74" s="38" t="str">
        <x:v>https://www.youtube.com/results?search_query=JavaScript+%E7%AC%AC%E4%B8%80%E5%80%8B%E4%BA%92%E5%8B%95+HTML+CSS+JavaScript+web+development+beginner+tutorial+MDN</x:v>
      </x:c>
      <x:c r="W74" s="38" t="str">
        <x:v>課前暖身</x:v>
      </x:c>
      <x:c r="X74" s="38" t="str">
        <x:v>JavaScript 第一個互動 理解變數、事件與瀏覽器中的程式 hands on project for kids HTML CSS JavaScript web development</x:v>
      </x:c>
      <x:c r="Y74" s="38" t="str">
        <x:v>https://www.youtube.com/results?search_query=JavaScript+%E7%AC%AC%E4%B8%80%E5%80%8B%E4%BA%92%E5%8B%95+%E7%90%86%E8%A7%A3%E8%AE%8A%E6%95%B8%E3%80%81%E4%BA%8B%E4%BB%B6%E8%88%87%E7%80%8F%E8%A6%BD%E5%99%A8%E4%B8%AD%E7%9A%84%E7%A8%8B%E5%BC%8F+hands+on+project+for+kids+HTML+CSS+JavaScript+web+development</x:v>
      </x:c>
      <x:c r="Z74" s="38" t="str">
        <x:v>課中實作參考</x:v>
      </x:c>
      <x:c r="AA74" s="38" t="str">
        <x:v>JavaScript 第一個互動 中文 教學 原理 安全 親子 HTML CSS JavaScript web development</x:v>
      </x:c>
      <x:c r="AB74" s="38" t="str">
        <x:v>https://www.youtube.com/results?search_query=JavaScript+%E7%AC%AC%E4%B8%80%E5%80%8B%E4%BA%92%E5%8B%95+%E4%B8%AD%E6%96%87+%E6%95%99%E5%AD%B8+%E5%8E%9F%E7%90%86+%E5%AE%89%E5%85%A8+%E8%A6%AA%E5%AD%90+HTML+CSS+JavaScript+web+development</x:v>
      </x:c>
      <x:c r="AC74" s="38" t="str">
        <x:v>課後延伸／親子討論</x:v>
      </x:c>
    </x:row>
    <x:row r="75" ht="105" customHeight="1">
      <x:c r="A75" s="40" t="n">
        <x:v>74</x:v>
      </x:c>
      <x:c r="B75" s="40" t="str">
        <x:v>第 2 年</x:v>
      </x:c>
      <x:c r="C75" s="40" t="str">
        <x:v>M05 Web 創作者：我的第一個網站</x:v>
      </x:c>
      <x:c r="D75" s="40" t="n">
        <x:v>10</x:v>
      </x:c>
      <x:c r="E75" s="40" t="str">
        <x:v>DOM：程式如何改網頁</x:v>
      </x:c>
      <x:c r="F75" s="40" t="str">
        <x:v>HTML／CSS／JavaScript／Web 發布</x:v>
      </x:c>
      <x:c r="G75" s="40" t="str">
        <x:v>選取、建立、修改與刪除元素</x:v>
      </x:c>
      <x:c r="H75" s="40" t="str">
        <x:v>00–10 任務開場：DOM：程式如何改網頁
10–25 概念示範：選取、建立、修改與刪除元素
25–65 父子共同實作：按下『新增收藏』動態產生一張卡片
65–75 休息／走動／聊天
75–105 孩子獨立改造：增加一個自選規則或功能
105–115 角色互換：孩子教爸爸操作與原理
115–120 錄音總結、作品命名、版本存檔</x:v>
      </x:c>
      <x:c r="I75" s="40" t="str">
        <x:v>按下『新增收藏』動態產生一張卡片</x:v>
      </x:c>
      <x:c r="J75" s="40" t="str">
        <x:v>行動裝置測試</x:v>
      </x:c>
      <x:c r="K75" s="40" t="str">
        <x:v>動態收藏牆</x:v>
      </x:c>
      <x:c r="L75" s="40" t="str">
        <x:v>設計同理</x:v>
      </x:c>
      <x:c r="M75" s="40" t="str">
        <x:v>確認 VS Code、瀏覽器與 GitHub；先建立練習用 repository。</x:v>
      </x:c>
      <x:c r="N75" s="40" t="str">
        <x:v>15–30 分鐘自由改造；寫三句學習日誌：我做了什麼、哪裡卡住、下次想加什麼。</x:v>
      </x:c>
      <x:c r="O75" s="40" t="str">
        <x:v>完成「動態收藏牆」；能不用看稿說出核心原理；能指出至少一個錯誤、限制或安全注意事項。</x:v>
      </x:c>
      <x:c r="P75" s="40" t="str">
        <x:v>R17</x:v>
      </x:c>
      <x:c r="Q75" s="40" t="str">
        <x:v>https://developer.mozilla.org/en-US/docs/Learn_web_development</x:v>
      </x:c>
      <x:c r="R75" s="40" t="str">
        <x:v>請孩子回答：1. DOM：程式如何改網頁在解決什麼？2. 我怎麼做？3. 哪裡容易錯？4. 生活中哪裡會用到？</x:v>
      </x:c>
      <x:c r="S75" s="40" t="str">
        <x:v>父子科技課 #074｜DOM：程式如何改網頁</x:v>
      </x:c>
      <x:c r="T75" s="40" t="n">
        <x:v>3</x:v>
      </x:c>
      <x:c r="U75" s="38" t="str">
        <x:v>DOM 程式如何改網頁 HTML CSS JavaScript web development beginner tutorial MDN</x:v>
      </x:c>
      <x:c r="V75" s="38" t="str">
        <x:v>https://www.youtube.com/results?search_query=DOM+%E7%A8%8B%E5%BC%8F%E5%A6%82%E4%BD%95%E6%94%B9%E7%B6%B2%E9%A0%81+HTML+CSS+JavaScript+web+development+beginner+tutorial+MDN</x:v>
      </x:c>
      <x:c r="W75" s="38" t="str">
        <x:v>課前暖身</x:v>
      </x:c>
      <x:c r="X75" s="38" t="str">
        <x:v>DOM 程式如何改網頁 選取、建立、修改與刪除元素 hands on project for kids HTML CSS JavaScript web development</x:v>
      </x:c>
      <x:c r="Y75" s="38" t="str">
        <x:v>https://www.youtube.com/results?search_query=DOM+%E7%A8%8B%E5%BC%8F%E5%A6%82%E4%BD%95%E6%94%B9%E7%B6%B2%E9%A0%81+%E9%81%B8%E5%8F%96%E3%80%81%E5%BB%BA%E7%AB%8B%E3%80%81%E4%BF%AE%E6%94%B9%E8%88%87%E5%88%AA%E9%99%A4%E5%85%83%E7%B4%A0+hands+on+project+for+kids+HTML+CSS+JavaScript+web+development</x:v>
      </x:c>
      <x:c r="Z75" s="38" t="str">
        <x:v>課中實作參考</x:v>
      </x:c>
      <x:c r="AA75" s="38" t="str">
        <x:v>DOM 程式如何改網頁 中文 教學 原理 安全 親子 HTML CSS JavaScript web development</x:v>
      </x:c>
      <x:c r="AB75" s="38" t="str">
        <x:v>https://www.youtube.com/results?search_query=DOM+%E7%A8%8B%E5%BC%8F%E5%A6%82%E4%BD%95%E6%94%B9%E7%B6%B2%E9%A0%81+%E4%B8%AD%E6%96%87+%E6%95%99%E5%AD%B8+%E5%8E%9F%E7%90%86+%E5%AE%89%E5%85%A8+%E8%A6%AA%E5%AD%90+HTML+CSS+JavaScript+web+development</x:v>
      </x:c>
      <x:c r="AC75" s="38" t="str">
        <x:v>課後延伸／親子討論</x:v>
      </x:c>
    </x:row>
    <x:row r="76" ht="105" customHeight="1">
      <x:c r="A76" s="40" t="n">
        <x:v>75</x:v>
      </x:c>
      <x:c r="B76" s="40" t="str">
        <x:v>第 2 年</x:v>
      </x:c>
      <x:c r="C76" s="40" t="str">
        <x:v>M05 Web 創作者：我的第一個網站</x:v>
      </x:c>
      <x:c r="D76" s="40" t="n">
        <x:v>11</x:v>
      </x:c>
      <x:c r="E76" s="40" t="str">
        <x:v>表單與輸入驗證</x:v>
      </x:c>
      <x:c r="F76" s="40" t="str">
        <x:v>HTML／CSS／JavaScript／Web 發布</x:v>
      </x:c>
      <x:c r="G76" s="40" t="str">
        <x:v>取得文字、選項、數字並檢查合理性</x:v>
      </x:c>
      <x:c r="H76" s="40" t="str">
        <x:v>00–10 任務開場：表單與輸入驗證
10–25 概念示範：取得文字、選項、數字並檢查合理性
25–65 父子共同實作：建立『推薦下一件收藏』表單與錯誤提示
65–75 休息／走動／聊天
75–105 孩子獨立改造：增加一個自選規則或功能
105–115 角色互換：孩子教爸爸操作與原理
115–120 錄音總結、作品命名、版本存檔</x:v>
      </x:c>
      <x:c r="I76" s="40" t="str">
        <x:v>建立『推薦下一件收藏』表單與錯誤提示</x:v>
      </x:c>
      <x:c r="J76" s="40" t="str">
        <x:v>線上展覽</x:v>
      </x:c>
      <x:c r="K76" s="40" t="str">
        <x:v>互動表單</x:v>
      </x:c>
      <x:c r="L76" s="40" t="str">
        <x:v>設計同理</x:v>
      </x:c>
      <x:c r="M76" s="40" t="str">
        <x:v>確認 VS Code、瀏覽器與 GitHub；先建立練習用 repository。</x:v>
      </x:c>
      <x:c r="N76" s="40" t="str">
        <x:v>15–30 分鐘自由改造；寫三句學習日誌：我做了什麼、哪裡卡住、下次想加什麼。</x:v>
      </x:c>
      <x:c r="O76" s="40" t="str">
        <x:v>完成「互動表單」；能不用看稿說出核心原理；能指出至少一個錯誤、限制或安全注意事項。</x:v>
      </x:c>
      <x:c r="P76" s="40" t="str">
        <x:v>R17</x:v>
      </x:c>
      <x:c r="Q76" s="40" t="str">
        <x:v>https://developer.mozilla.org/en-US/docs/Learn_web_development</x:v>
      </x:c>
      <x:c r="R76" s="40" t="str">
        <x:v>請孩子回答：1. 表單與輸入驗證在解決什麼？2. 我怎麼做？3. 哪裡容易錯？4. 生活中哪裡會用到？</x:v>
      </x:c>
      <x:c r="S76" s="40" t="str">
        <x:v>父子科技課 #075｜表單與輸入驗證</x:v>
      </x:c>
      <x:c r="T76" s="40" t="n">
        <x:v>3</x:v>
      </x:c>
      <x:c r="U76" s="38" t="str">
        <x:v>表單與輸入驗證 HTML CSS JavaScript web development beginner tutorial MDN</x:v>
      </x:c>
      <x:c r="V76" s="38" t="str">
        <x:v>https://www.youtube.com/results?search_query=%E8%A1%A8%E5%96%AE%E8%88%87%E8%BC%B8%E5%85%A5%E9%A9%97%E8%AD%89+HTML+CSS+JavaScript+web+development+beginner+tutorial+MDN</x:v>
      </x:c>
      <x:c r="W76" s="38" t="str">
        <x:v>課前暖身</x:v>
      </x:c>
      <x:c r="X76" s="38" t="str">
        <x:v>表單與輸入驗證 取得文字、選項、數字並檢查合理性 hands on project for kids HTML CSS JavaScript web development</x:v>
      </x:c>
      <x:c r="Y76" s="38" t="str">
        <x:v>https://www.youtube.com/results?search_query=%E8%A1%A8%E5%96%AE%E8%88%87%E8%BC%B8%E5%85%A5%E9%A9%97%E8%AD%89+%E5%8F%96%E5%BE%97%E6%96%87%E5%AD%97%E3%80%81%E9%81%B8%E9%A0%85%E3%80%81%E6%95%B8%E5%AD%97%E4%B8%A6%E6%AA%A2%E6%9F%A5%E5%90%88%E7%90%86%E6%80%A7+hands+on+project+for+kids+HTML+CSS+JavaScript+web+development</x:v>
      </x:c>
      <x:c r="Z76" s="38" t="str">
        <x:v>課中實作參考</x:v>
      </x:c>
      <x:c r="AA76" s="38" t="str">
        <x:v>表單與輸入驗證 中文 教學 原理 安全 親子 HTML CSS JavaScript web development</x:v>
      </x:c>
      <x:c r="AB76" s="38" t="str">
        <x:v>https://www.youtube.com/results?search_query=%E8%A1%A8%E5%96%AE%E8%88%87%E8%BC%B8%E5%85%A5%E9%A9%97%E8%AD%89+%E4%B8%AD%E6%96%87+%E6%95%99%E5%AD%B8+%E5%8E%9F%E7%90%86+%E5%AE%89%E5%85%A8+%E8%A6%AA%E5%AD%90+HTML+CSS+JavaScript+web+development</x:v>
      </x:c>
      <x:c r="AC76" s="38" t="str">
        <x:v>課後延伸／親子討論</x:v>
      </x:c>
    </x:row>
    <x:row r="77" ht="105" customHeight="1">
      <x:c r="A77" s="40" t="n">
        <x:v>76</x:v>
      </x:c>
      <x:c r="B77" s="40" t="str">
        <x:v>第 2 年</x:v>
      </x:c>
      <x:c r="C77" s="40" t="str">
        <x:v>M05 Web 創作者：我的第一個網站</x:v>
      </x:c>
      <x:c r="D77" s="40" t="n">
        <x:v>12</x:v>
      </x:c>
      <x:c r="E77" s="40" t="str">
        <x:v>Local Storage：讓瀏覽器記得</x:v>
      </x:c>
      <x:c r="F77" s="40" t="str">
        <x:v>HTML／CSS／JavaScript／Web 發布</x:v>
      </x:c>
      <x:c r="G77" s="40" t="str">
        <x:v>在本機保存偏好與簡單資料</x:v>
      </x:c>
      <x:c r="H77" s="40" t="str">
        <x:v>00–10 任務開場：Local Storage：讓瀏覽器記得
10–25 概念示範：在本機保存偏好與簡單資料
25–65 父子共同實作：保存主題、暱稱與收藏清單，重新開啟仍存在
65–75 休息／走動／聊天
75–105 孩子獨立改造：增加一個自選規則或功能
105–115 角色互換：孩子教爸爸操作與原理
115–120 錄音總結、作品命名、版本存檔</x:v>
      </x:c>
      <x:c r="I77" s="40" t="str">
        <x:v>保存主題、暱稱與收藏清單，重新開啟仍存在</x:v>
      </x:c>
      <x:c r="J77" s="40" t="str">
        <x:v>設計改造</x:v>
      </x:c>
      <x:c r="K77" s="40" t="str">
        <x:v>個人化網站</x:v>
      </x:c>
      <x:c r="L77" s="40" t="str">
        <x:v>設計同理</x:v>
      </x:c>
      <x:c r="M77" s="40" t="str">
        <x:v>確認 VS Code、瀏覽器與 GitHub；先建立練習用 repository。</x:v>
      </x:c>
      <x:c r="N77" s="40" t="str">
        <x:v>15–30 分鐘自由改造；寫三句學習日誌：我做了什麼、哪裡卡住、下次想加什麼。</x:v>
      </x:c>
      <x:c r="O77" s="40" t="str">
        <x:v>完成「個人化網站」；能不用看稿說出核心原理；能指出至少一個錯誤、限制或安全注意事項。</x:v>
      </x:c>
      <x:c r="P77" s="40" t="str">
        <x:v>R17</x:v>
      </x:c>
      <x:c r="Q77" s="40" t="str">
        <x:v>https://developer.mozilla.org/en-US/docs/Learn_web_development</x:v>
      </x:c>
      <x:c r="R77" s="40" t="str">
        <x:v>請孩子回答：1. Local Storage：讓瀏覽器記得在解決什麼？2. 我怎麼做？3. 哪裡容易錯？4. 生活中哪裡會用到？</x:v>
      </x:c>
      <x:c r="S77" s="40" t="str">
        <x:v>父子科技課 #076｜Local Storage：讓瀏覽器記得</x:v>
      </x:c>
      <x:c r="T77" s="40" t="n">
        <x:v>3</x:v>
      </x:c>
      <x:c r="U77" s="38" t="str">
        <x:v>Local Storage 讓瀏覽器記得 HTML CSS JavaScript web development beginner tutorial MDN</x:v>
      </x:c>
      <x:c r="V77" s="38" t="str">
        <x:v>https://www.youtube.com/results?search_query=Local+Storage+%E8%AE%93%E7%80%8F%E8%A6%BD%E5%99%A8%E8%A8%98%E5%BE%97+HTML+CSS+JavaScript+web+development+beginner+tutorial+MDN</x:v>
      </x:c>
      <x:c r="W77" s="38" t="str">
        <x:v>課前暖身</x:v>
      </x:c>
      <x:c r="X77" s="38" t="str">
        <x:v>Local Storage 讓瀏覽器記得 在本機保存偏好與簡單資料 hands on project for kids HTML CSS JavaScript web development</x:v>
      </x:c>
      <x:c r="Y77" s="38" t="str">
        <x:v>https://www.youtube.com/results?search_query=Local+Storage+%E8%AE%93%E7%80%8F%E8%A6%BD%E5%99%A8%E8%A8%98%E5%BE%97+%E5%9C%A8%E6%9C%AC%E6%A9%9F%E4%BF%9D%E5%AD%98%E5%81%8F%E5%A5%BD%E8%88%87%E7%B0%A1%E5%96%AE%E8%B3%87%E6%96%99+hands+on+project+for+kids+HTML+CSS+JavaScript+web+development</x:v>
      </x:c>
      <x:c r="Z77" s="38" t="str">
        <x:v>課中實作參考</x:v>
      </x:c>
      <x:c r="AA77" s="38" t="str">
        <x:v>Local Storage 讓瀏覽器記得 中文 教學 原理 安全 親子 HTML CSS JavaScript web development</x:v>
      </x:c>
      <x:c r="AB77" s="38" t="str">
        <x:v>https://www.youtube.com/results?search_query=Local+Storage+%E8%AE%93%E7%80%8F%E8%A6%BD%E5%99%A8%E8%A8%98%E5%BE%97+%E4%B8%AD%E6%96%87+%E6%95%99%E5%AD%B8+%E5%8E%9F%E7%90%86+%E5%AE%89%E5%85%A8+%E8%A6%AA%E5%AD%90+HTML+CSS+JavaScript+web+development</x:v>
      </x:c>
      <x:c r="AC77" s="38" t="str">
        <x:v>課後延伸／親子討論</x:v>
      </x:c>
    </x:row>
    <x:row r="78" ht="105" customHeight="1">
      <x:c r="A78" s="40" t="n">
        <x:v>77</x:v>
      </x:c>
      <x:c r="B78" s="40" t="str">
        <x:v>第 2 年</x:v>
      </x:c>
      <x:c r="C78" s="40" t="str">
        <x:v>M05 Web 創作者：我的第一個網站</x:v>
      </x:c>
      <x:c r="D78" s="40" t="n">
        <x:v>13</x:v>
      </x:c>
      <x:c r="E78" s="40" t="str">
        <x:v>網站企劃：個人科技博物館</x:v>
      </x:c>
      <x:c r="F78" s="40" t="str">
        <x:v>HTML／CSS／JavaScript／Web 發布</x:v>
      </x:c>
      <x:c r="G78" s="40" t="str">
        <x:v>定義觀眾、內容架構、視覺與核心互動</x:v>
      </x:c>
      <x:c r="H78" s="40" t="str">
        <x:v>00–10 任務開場：網站企劃：個人科技博物館
10–25 概念示範：定義觀眾、內容架構、視覺與核心互動
25–65 父子共同實作：以便利貼排出首頁、展區、作品與關於頁
65–75 休息／走動／聊天
75–105 孩子獨立改造：增加一個自選規則或功能
105–115 角色互換：孩子教爸爸操作與原理
115–120 錄音總結、作品命名、版本存檔</x:v>
      </x:c>
      <x:c r="I78" s="40" t="str">
        <x:v>以便利貼排出首頁、展區、作品與關於頁</x:v>
      </x:c>
      <x:c r="J78" s="40" t="str">
        <x:v>臨摹挑戰</x:v>
      </x:c>
      <x:c r="K78" s="40" t="str">
        <x:v>網站資訊架構</x:v>
      </x:c>
      <x:c r="L78" s="40" t="str">
        <x:v>創意與設計</x:v>
      </x:c>
      <x:c r="M78" s="40" t="str">
        <x:v>確認 VS Code、瀏覽器與 GitHub；先建立練習用 repository。</x:v>
      </x:c>
      <x:c r="N78" s="40" t="str">
        <x:v>15–30 分鐘自由改造；寫三句學習日誌：我做了什麼、哪裡卡住、下次想加什麼。</x:v>
      </x:c>
      <x:c r="O78" s="40" t="str">
        <x:v>完成「網站資訊架構」；能不用看稿說出核心原理；能指出至少一個錯誤、限制或安全注意事項。</x:v>
      </x:c>
      <x:c r="P78" s="40" t="str">
        <x:v>R17</x:v>
      </x:c>
      <x:c r="Q78" s="40" t="str">
        <x:v>https://developer.mozilla.org/en-US/docs/Learn_web_development</x:v>
      </x:c>
      <x:c r="R78" s="40" t="str">
        <x:v>請孩子回答：1. 網站企劃：個人科技博物館在解決什麼？2. 我怎麼做？3. 哪裡容易錯？4. 生活中哪裡會用到？</x:v>
      </x:c>
      <x:c r="S78" s="40" t="str">
        <x:v>父子科技課 #077｜網站企劃：個人科技博物館</x:v>
      </x:c>
      <x:c r="T78" s="40" t="n">
        <x:v>3</x:v>
      </x:c>
      <x:c r="U78" s="38" t="str">
        <x:v>網站企劃 個人科技博物館 HTML CSS JavaScript web development beginner tutorial MDN</x:v>
      </x:c>
      <x:c r="V78" s="38" t="str">
        <x:v>https://www.youtube.com/results?search_query=%E7%B6%B2%E7%AB%99%E4%BC%81%E5%8A%83+%E5%80%8B%E4%BA%BA%E7%A7%91%E6%8A%80%E5%8D%9A%E7%89%A9%E9%A4%A8+HTML+CSS+JavaScript+web+development+beginner+tutorial+MDN</x:v>
      </x:c>
      <x:c r="W78" s="38" t="str">
        <x:v>課前暖身</x:v>
      </x:c>
      <x:c r="X78" s="38" t="str">
        <x:v>網站企劃 個人科技博物館 定義觀眾、內容架構、視覺與核心互動 hands on project for kids HTML CSS JavaScript web development</x:v>
      </x:c>
      <x:c r="Y78" s="38" t="str">
        <x:v>https://www.youtube.com/results?search_query=%E7%B6%B2%E7%AB%99%E4%BC%81%E5%8A%83+%E5%80%8B%E4%BA%BA%E7%A7%91%E6%8A%80%E5%8D%9A%E7%89%A9%E9%A4%A8+%E5%AE%9A%E7%BE%A9%E8%A7%80%E7%9C%BE%E3%80%81%E5%85%A7%E5%AE%B9%E6%9E%B6%E6%A7%8B%E3%80%81%E8%A6%96%E8%A6%BA%E8%88%87%E6%A0%B8%E5%BF%83%E4%BA%92%E5%8B%95+hands+on+project+for+kids+HTML+CSS+JavaScript+web+development</x:v>
      </x:c>
      <x:c r="Z78" s="38" t="str">
        <x:v>課中實作參考</x:v>
      </x:c>
      <x:c r="AA78" s="38" t="str">
        <x:v>網站企劃 個人科技博物館 中文 教學 原理 安全 親子 HTML CSS JavaScript web development</x:v>
      </x:c>
      <x:c r="AB78" s="38" t="str">
        <x:v>https://www.youtube.com/results?search_query=%E7%B6%B2%E7%AB%99%E4%BC%81%E5%8A%83+%E5%80%8B%E4%BA%BA%E7%A7%91%E6%8A%80%E5%8D%9A%E7%89%A9%E9%A4%A8+%E4%B8%AD%E6%96%87+%E6%95%99%E5%AD%B8+%E5%8E%9F%E7%90%86+%E5%AE%89%E5%85%A8+%E8%A6%AA%E5%AD%90+HTML+CSS+JavaScript+web+development</x:v>
      </x:c>
      <x:c r="AC78" s="38" t="str">
        <x:v>課後延伸／親子討論</x:v>
      </x:c>
    </x:row>
    <x:row r="79" ht="105" customHeight="1">
      <x:c r="A79" s="40" t="n">
        <x:v>78</x:v>
      </x:c>
      <x:c r="B79" s="40" t="str">
        <x:v>第 2 年</x:v>
      </x:c>
      <x:c r="C79" s="40" t="str">
        <x:v>M05 Web 創作者：我的第一個網站</x:v>
      </x:c>
      <x:c r="D79" s="40" t="n">
        <x:v>14</x:v>
      </x:c>
      <x:c r="E79" s="40" t="str">
        <x:v>建置 Sprint：從首頁到作品頁</x:v>
      </x:c>
      <x:c r="F79" s="40" t="str">
        <x:v>HTML／CSS／JavaScript／Web 發布</x:v>
      </x:c>
      <x:c r="G79" s="40" t="str">
        <x:v>依優先順序完成 MVP 並持續提交版本</x:v>
      </x:c>
      <x:c r="H79" s="40" t="str">
        <x:v>00–10 任務開場：建置 Sprint：從首頁到作品頁
10–25 概念示範：依優先順序完成 MVP 並持續提交版本
25–65 父子共同實作：用 90 分鐘完成主要頁面與一個互動
65–75 休息／走動／聊天
75–105 孩子獨立改造：增加一個自選規則或功能
105–115 角色互換：孩子教爸爸操作與原理
115–120 錄音總結、作品命名、版本存檔</x:v>
      </x:c>
      <x:c r="I79" s="40" t="str">
        <x:v>用 90 分鐘完成主要頁面與一個互動</x:v>
      </x:c>
      <x:c r="J79" s="40" t="str">
        <x:v>行動裝置測試</x:v>
      </x:c>
      <x:c r="K79" s="40" t="str">
        <x:v>網站 Alpha</x:v>
      </x:c>
      <x:c r="L79" s="40" t="str">
        <x:v>設計同理</x:v>
      </x:c>
      <x:c r="M79" s="40" t="str">
        <x:v>確認 VS Code、瀏覽器與 GitHub；先建立練習用 repository。</x:v>
      </x:c>
      <x:c r="N79" s="40" t="str">
        <x:v>15–30 分鐘自由改造；寫三句學習日誌：我做了什麼、哪裡卡住、下次想加什麼。</x:v>
      </x:c>
      <x:c r="O79" s="40" t="str">
        <x:v>完成「網站 Alpha」；能不用看稿說出核心原理；能指出至少一個錯誤、限制或安全注意事項。</x:v>
      </x:c>
      <x:c r="P79" s="40" t="str">
        <x:v>R14</x:v>
      </x:c>
      <x:c r="Q79" s="40" t="str">
        <x:v>https://skills.github.com/</x:v>
      </x:c>
      <x:c r="R79" s="40" t="str">
        <x:v>請孩子回答：1. 建置 Sprint：從首頁到作品頁在解決什麼？2. 我怎麼做？3. 哪裡容易錯？4. 生活中哪裡會用到？</x:v>
      </x:c>
      <x:c r="S79" s="40" t="str">
        <x:v>父子科技課 #078｜建置 Sprint：從首頁到作品頁</x:v>
      </x:c>
      <x:c r="T79" s="40" t="n">
        <x:v>3</x:v>
      </x:c>
      <x:c r="U79" s="38" t="str">
        <x:v>建置 Sprint 從首頁到作品頁 HTML CSS JavaScript web development beginner tutorial MDN</x:v>
      </x:c>
      <x:c r="V79" s="38" t="str">
        <x:v>https://www.youtube.com/results?search_query=%E5%BB%BA%E7%BD%AE+Sprint+%E5%BE%9E%E9%A6%96%E9%A0%81%E5%88%B0%E4%BD%9C%E5%93%81%E9%A0%81+HTML+CSS+JavaScript+web+development+beginner+tutorial+MDN</x:v>
      </x:c>
      <x:c r="W79" s="38" t="str">
        <x:v>課前暖身</x:v>
      </x:c>
      <x:c r="X79" s="38" t="str">
        <x:v>建置 Sprint 從首頁到作品頁 依優先順序完成 MVP 並持續提交版本 hands on project for kids HTML CSS JavaScript</x:v>
      </x:c>
      <x:c r="Y79" s="38" t="str">
        <x:v>https://www.youtube.com/results?search_query=%E5%BB%BA%E7%BD%AE+Sprint+%E5%BE%9E%E9%A6%96%E9%A0%81%E5%88%B0%E4%BD%9C%E5%93%81%E9%A0%81+%E4%BE%9D%E5%84%AA%E5%85%88%E9%A0%86%E5%BA%8F%E5%AE%8C%E6%88%90+MVP+%E4%B8%A6%E6%8C%81%E7%BA%8C%E6%8F%90%E4%BA%A4%E7%89%88%E6%9C%AC+hands+on+project+for+kids+HTML+CSS+JavaScript+web+development</x:v>
      </x:c>
      <x:c r="Z79" s="38" t="str">
        <x:v>課中實作參考</x:v>
      </x:c>
      <x:c r="AA79" s="38" t="str">
        <x:v>建置 Sprint 從首頁到作品頁 中文 教學 原理 安全 親子 HTML CSS JavaScript web development</x:v>
      </x:c>
      <x:c r="AB79" s="38" t="str">
        <x:v>https://www.youtube.com/results?search_query=%E5%BB%BA%E7%BD%AE+Sprint+%E5%BE%9E%E9%A6%96%E9%A0%81%E5%88%B0%E4%BD%9C%E5%93%81%E9%A0%81+%E4%B8%AD%E6%96%87+%E6%95%99%E5%AD%B8+%E5%8E%9F%E7%90%86+%E5%AE%89%E5%85%A8+%E8%A6%AA%E5%AD%90+HTML+CSS+JavaScript+web+development</x:v>
      </x:c>
      <x:c r="AC79" s="38" t="str">
        <x:v>課後延伸／親子討論</x:v>
      </x:c>
    </x:row>
    <x:row r="80" ht="105" customHeight="1">
      <x:c r="A80" s="40" t="n">
        <x:v>79</x:v>
      </x:c>
      <x:c r="B80" s="40" t="str">
        <x:v>第 2 年</x:v>
      </x:c>
      <x:c r="C80" s="40" t="str">
        <x:v>M05 Web 創作者：我的第一個網站</x:v>
      </x:c>
      <x:c r="D80" s="40" t="n">
        <x:v>15</x:v>
      </x:c>
      <x:c r="E80" s="40" t="str">
        <x:v>GitHub Pages 發布與測試</x:v>
      </x:c>
      <x:c r="F80" s="40" t="str">
        <x:v>HTML／CSS／JavaScript／Web 發布</x:v>
      </x:c>
      <x:c r="G80" s="40" t="str">
        <x:v>理解 repository、commit、部署與公開網址</x:v>
      </x:c>
      <x:c r="H80" s="40" t="str">
        <x:v>00–10 任務開場：GitHub Pages 發布與測試
10–25 概念示範：理解 repository、commit、部署與公開網址
25–65 父子共同實作：建立 repo、發布網站、用手機與另一台電腦測試
65–75 休息／走動／聊天
75–105 孩子獨立改造：增加一個自選規則或功能
105–115 角色互換：孩子教爸爸操作與原理
115–120 錄音總結、作品命名、版本存檔</x:v>
      </x:c>
      <x:c r="I80" s="40" t="str">
        <x:v>建立 repo、發布網站、用手機與另一台電腦測試</x:v>
      </x:c>
      <x:c r="J80" s="40" t="str">
        <x:v>線上展覽</x:v>
      </x:c>
      <x:c r="K80" s="40" t="str">
        <x:v>公開測試網址</x:v>
      </x:c>
      <x:c r="L80" s="40" t="str">
        <x:v>問題拆解</x:v>
      </x:c>
      <x:c r="M80" s="40" t="str">
        <x:v>確認 VS Code、瀏覽器與 GitHub；先建立練習用 repository。</x:v>
      </x:c>
      <x:c r="N80" s="40" t="str">
        <x:v>15–30 分鐘自由改造；寫三句學習日誌：我做了什麼、哪裡卡住、下次想加什麼。</x:v>
      </x:c>
      <x:c r="O80" s="40" t="str">
        <x:v>完成「公開測試網址」；能不用看稿說出核心原理；能指出至少一個錯誤、限制或安全注意事項。</x:v>
      </x:c>
      <x:c r="P80" s="40" t="str">
        <x:v>R15</x:v>
      </x:c>
      <x:c r="Q80" s="40" t="str">
        <x:v>https://docs.github.com/en/get-started/start-your-journey/hello-world</x:v>
      </x:c>
      <x:c r="R80" s="40" t="str">
        <x:v>請孩子回答：1. GitHub Pages 發布與測試在解決什麼？2. 我怎麼做？3. 哪裡容易錯？4. 生活中哪裡會用到？</x:v>
      </x:c>
      <x:c r="S80" s="40" t="str">
        <x:v>父子科技課 #079｜GitHub Pages 發布與測試</x:v>
      </x:c>
      <x:c r="T80" s="40" t="n">
        <x:v>3</x:v>
      </x:c>
      <x:c r="U80" s="38" t="str">
        <x:v>GitHub Pages 發布與測試 HTML CSS JavaScript web development beginner tutorial MDN</x:v>
      </x:c>
      <x:c r="V80" s="38" t="str">
        <x:v>https://www.youtube.com/results?search_query=GitHub+Pages+%E7%99%BC%E5%B8%83%E8%88%87%E6%B8%AC%E8%A9%A6+HTML+CSS+JavaScript+web+development+beginner+tutorial+MDN</x:v>
      </x:c>
      <x:c r="W80" s="38" t="str">
        <x:v>課前暖身</x:v>
      </x:c>
      <x:c r="X80" s="38" t="str">
        <x:v>GitHub Pages 發布與測試 理解 repository、commit、部署與公開網址 hands on project for kids HTML CSS JavaScript web</x:v>
      </x:c>
      <x:c r="Y80" s="38" t="str">
        <x:v>https://www.youtube.com/results?search_query=GitHub+Pages+%E7%99%BC%E5%B8%83%E8%88%87%E6%B8%AC%E8%A9%A6+%E7%90%86%E8%A7%A3+repository%E3%80%81commit%E3%80%81%E9%83%A8%E7%BD%B2%E8%88%87%E5%85%AC%E9%96%8B%E7%B6%B2%E5%9D%80+hands+on+project+for+kids+HTML+CSS+JavaScript+web+development</x:v>
      </x:c>
      <x:c r="Z80" s="38" t="str">
        <x:v>課中實作參考</x:v>
      </x:c>
      <x:c r="AA80" s="38" t="str">
        <x:v>GitHub Pages 發布與測試 中文 教學 原理 安全 親子 HTML CSS JavaScript web development</x:v>
      </x:c>
      <x:c r="AB80" s="38" t="str">
        <x:v>https://www.youtube.com/results?search_query=GitHub+Pages+%E7%99%BC%E5%B8%83%E8%88%87%E6%B8%AC%E8%A9%A6+%E4%B8%AD%E6%96%87+%E6%95%99%E5%AD%B8+%E5%8E%9F%E7%90%86+%E5%AE%89%E5%85%A8+%E8%A6%AA%E5%AD%90+HTML+CSS+JavaScript+web+development</x:v>
      </x:c>
      <x:c r="AC80" s="38" t="str">
        <x:v>課後延伸／親子討論</x:v>
      </x:c>
    </x:row>
    <x:row r="81" ht="105" customHeight="1">
      <x:c r="A81" s="40" t="n">
        <x:v>80</x:v>
      </x:c>
      <x:c r="B81" s="40" t="str">
        <x:v>第 2 年</x:v>
      </x:c>
      <x:c r="C81" s="40" t="str">
        <x:v>M05 Web 創作者：我的第一個網站</x:v>
      </x:c>
      <x:c r="D81" s="40" t="n">
        <x:v>16</x:v>
      </x:c>
      <x:c r="E81" s="40" t="str">
        <x:v>線上導覽員發表會</x:v>
      </x:c>
      <x:c r="F81" s="40" t="str">
        <x:v>HTML／CSS／JavaScript／Web 發布</x:v>
      </x:c>
      <x:c r="G81" s="40" t="str">
        <x:v>練習網站導覽、設計取捨、問題回答與更新</x:v>
      </x:c>
      <x:c r="H81" s="40" t="str">
        <x:v>00–10 任務開場：線上導覽員發表會
10–25 概念示範：練習網站導覽、設計取捨、問題回答與更新
25–65 父子共同實作：孩子主持 5 分鐘線上展覽，收集改進清單
65–75 休息／走動／聊天
75–105 孩子獨立改造：增加一個自選規則或功能
105–115 角色互換：孩子教爸爸操作與原理
115–120 錄音總結、作品命名、版本存檔</x:v>
      </x:c>
      <x:c r="I81" s="40" t="str">
        <x:v>孩子主持 5 分鐘線上展覽，收集改進清單</x:v>
      </x:c>
      <x:c r="J81" s="40" t="str">
        <x:v>設計改造</x:v>
      </x:c>
      <x:c r="K81" s="40" t="str">
        <x:v>正式網站＋導覽影片</x:v>
      </x:c>
      <x:c r="L81" s="40" t="str">
        <x:v>溝通表達</x:v>
      </x:c>
      <x:c r="M81" s="40" t="str">
        <x:v>確認 VS Code、瀏覽器與 GitHub；先建立練習用 repository。</x:v>
      </x:c>
      <x:c r="N81" s="40" t="str">
        <x:v>15–30 分鐘自由改造；寫三句學習日誌：我做了什麼、哪裡卡住、下次想加什麼。</x:v>
      </x:c>
      <x:c r="O81" s="40" t="str">
        <x:v>完成「正式網站＋導覽影片」；能不用看稿說出核心原理；能指出至少一個錯誤、限制或安全注意事項。</x:v>
      </x:c>
      <x:c r="P81" s="40" t="str">
        <x:v>R14</x:v>
      </x:c>
      <x:c r="Q81" s="40" t="str">
        <x:v>https://skills.github.com/</x:v>
      </x:c>
      <x:c r="R81" s="40" t="str">
        <x:v>請孩子回答：1. 線上導覽員發表會在解決什麼？2. 我怎麼做？3. 哪裡容易錯？4. 生活中哪裡會用到？</x:v>
      </x:c>
      <x:c r="S81" s="40" t="str">
        <x:v>父子科技課 #080｜線上導覽員發表會</x:v>
      </x:c>
      <x:c r="T81" s="40" t="n">
        <x:v>3</x:v>
      </x:c>
      <x:c r="U81" s="38" t="str">
        <x:v>線上導覽員發表會 HTML CSS JavaScript web development beginner tutorial MDN</x:v>
      </x:c>
      <x:c r="V81" s="38" t="str">
        <x:v>https://www.youtube.com/results?search_query=%E7%B7%9A%E4%B8%8A%E5%B0%8E%E8%A6%BD%E5%93%A1%E7%99%BC%E8%A1%A8%E6%9C%83+HTML+CSS+JavaScript+web+development+beginner+tutorial+MDN</x:v>
      </x:c>
      <x:c r="W81" s="38" t="str">
        <x:v>課前暖身</x:v>
      </x:c>
      <x:c r="X81" s="38" t="str">
        <x:v>線上導覽員發表會 練習網站導覽、設計取捨、問題回答與更新 hands on project for kids HTML CSS JavaScript web development</x:v>
      </x:c>
      <x:c r="Y81" s="38" t="str">
        <x:v>https://www.youtube.com/results?search_query=%E7%B7%9A%E4%B8%8A%E5%B0%8E%E8%A6%BD%E5%93%A1%E7%99%BC%E8%A1%A8%E6%9C%83+%E7%B7%B4%E7%BF%92%E7%B6%B2%E7%AB%99%E5%B0%8E%E8%A6%BD%E3%80%81%E8%A8%AD%E8%A8%88%E5%8F%96%E6%8D%A8%E3%80%81%E5%95%8F%E9%A1%8C%E5%9B%9E%E7%AD%94%E8%88%87%E6%9B%B4%E6%96%B0+hands+on+project+for+kids+HTML+CSS+JavaScript+web+development</x:v>
      </x:c>
      <x:c r="Z81" s="38" t="str">
        <x:v>課中實作參考</x:v>
      </x:c>
      <x:c r="AA81" s="38" t="str">
        <x:v>線上導覽員發表會 中文 教學 原理 安全 親子 HTML CSS JavaScript web development</x:v>
      </x:c>
      <x:c r="AB81" s="38" t="str">
        <x:v>https://www.youtube.com/results?search_query=%E7%B7%9A%E4%B8%8A%E5%B0%8E%E8%A6%BD%E5%93%A1%E7%99%BC%E8%A1%A8%E6%9C%83+%E4%B8%AD%E6%96%87+%E6%95%99%E5%AD%B8+%E5%8E%9F%E7%90%86+%E5%AE%89%E5%85%A8+%E8%A6%AA%E5%AD%90+HTML+CSS+JavaScript+web+development</x:v>
      </x:c>
      <x:c r="AC81" s="38" t="str">
        <x:v>課後延伸／親子討論</x:v>
      </x:c>
    </x:row>
    <x:row r="82" ht="105" customHeight="1">
      <x:c r="A82" s="40" t="n">
        <x:v>81</x:v>
      </x:c>
      <x:c r="B82" s="40" t="str">
        <x:v>第 2 年</x:v>
      </x:c>
      <x:c r="C82" s="40" t="str">
        <x:v>M06 Maker Lab：micro:bit 電子與感測</x:v>
      </x:c>
      <x:c r="D82" s="40" t="n">
        <x:v>1</x:v>
      </x:c>
      <x:c r="E82" s="40" t="str">
        <x:v>電、電子與安全規則</x:v>
      </x:c>
      <x:c r="F82" s="40" t="str">
        <x:v>電子／感測器／無線通訊／實體運算</x:v>
      </x:c>
      <x:c r="G82" s="40" t="str">
        <x:v>理解電壓、電流、正負極、短路與低壓實驗安全</x:v>
      </x:c>
      <x:c r="H82" s="40" t="str">
        <x:v>00–10 任務開場：電、電子與安全規則
10–25 概念示範：理解電壓、電流、正負極、短路與低壓實驗安全
25–65 父子共同實作：用水流比喻與電池/LED 紙上電路判斷正確接法
65–75 休息／走動／聊天
75–105 孩子獨立改造：增加一個自選規則或功能
105–115 角色互換：孩子教爸爸操作與原理
115–120 錄音總結、作品命名、版本存檔</x:v>
      </x:c>
      <x:c r="I82" s="40" t="str">
        <x:v>用水流比喻與電池/LED 紙上電路判斷正確接法</x:v>
      </x:c>
      <x:c r="J82" s="40" t="str">
        <x:v>尋寶</x:v>
      </x:c>
      <x:c r="K82" s="40" t="str">
        <x:v>Maker 安全守則</x:v>
      </x:c>
      <x:c r="L82" s="40" t="str">
        <x:v>安全</x:v>
      </x:c>
      <x:c r="M82" s="40" t="str">
        <x:v>檢查 micro:bit、USB、電池與零件；只做低壓安全實驗。</x:v>
      </x:c>
      <x:c r="N82" s="40" t="str">
        <x:v>15–30 分鐘自由改造；寫三句學習日誌：我做了什麼、哪裡卡住、下次想加什麼。</x:v>
      </x:c>
      <x:c r="O82" s="40" t="str">
        <x:v>完成「Maker 安全守則」；能不用看稿說出核心原理；能指出至少一個錯誤、限制或安全注意事項。</x:v>
      </x:c>
      <x:c r="P82" s="40" t="str">
        <x:v>R18</x:v>
      </x:c>
      <x:c r="Q82" s="40" t="str">
        <x:v>https://docs.arduino.cc/</x:v>
      </x:c>
      <x:c r="R82" s="40" t="str">
        <x:v>請孩子回答：1. 電、電子與安全規則在解決什麼？2. 我怎麼做？3. 哪裡容易錯？4. 生活中哪裡會用到？</x:v>
      </x:c>
      <x:c r="S82" s="40" t="str">
        <x:v>父子科技課 #081｜電、電子與安全規則</x:v>
      </x:c>
      <x:c r="T82" s="40" t="n">
        <x:v>2</x:v>
      </x:c>
      <x:c r="U82" s="38" t="str">
        <x:v>電、電子與安全規則 microbit physical computing coding beginner tutorial micro:bit</x:v>
      </x:c>
      <x:c r="V82" s="38" t="str">
        <x:v>https://www.youtube.com/results?search_query=%E9%9B%BB%E3%80%81%E9%9B%BB%E5%AD%90%E8%88%87%E5%AE%89%E5%85%A8%E8%A6%8F%E5%89%87+microbit+physical+computing+coding+beginner+tutorial+micro%3Abit</x:v>
      </x:c>
      <x:c r="W82" s="38" t="str">
        <x:v>課前暖身</x:v>
      </x:c>
      <x:c r="X82" s="38" t="str">
        <x:v>電、電子與安全規則 理解電壓、電流、正負極、短路與低壓實驗安全 hands on project for kids microbit physical computing coding</x:v>
      </x:c>
      <x:c r="Y82" s="38" t="str">
        <x:v>https://www.youtube.com/results?search_query=%E9%9B%BB%E3%80%81%E9%9B%BB%E5%AD%90%E8%88%87%E5%AE%89%E5%85%A8%E8%A6%8F%E5%89%87+%E7%90%86%E8%A7%A3%E9%9B%BB%E5%A3%93%E3%80%81%E9%9B%BB%E6%B5%81%E3%80%81%E6%AD%A3%E8%B2%A0%E6%A5%B5%E3%80%81%E7%9F%AD%E8%B7%AF%E8%88%87%E4%BD%8E%E5%A3%93%E5%AF%A6%E9%A9%97%E5%AE%89%E5%85%A8+hands+on+project+for+kids+microbit+physical+computing+coding</x:v>
      </x:c>
      <x:c r="Z82" s="38" t="str">
        <x:v>課中實作參考</x:v>
      </x:c>
      <x:c r="AA82" s="38" t="str">
        <x:v>電、電子與安全規則 中文 教學 原理 安全 親子 microbit physical computing coding</x:v>
      </x:c>
      <x:c r="AB82" s="38" t="str">
        <x:v>https://www.youtube.com/results?search_query=%E9%9B%BB%E3%80%81%E9%9B%BB%E5%AD%90%E8%88%87%E5%AE%89%E5%85%A8%E8%A6%8F%E5%89%87+%E4%B8%AD%E6%96%87+%E6%95%99%E5%AD%B8+%E5%8E%9F%E7%90%86+%E5%AE%89%E5%85%A8+%E8%A6%AA%E5%AD%90+microbit+physical+computing+coding</x:v>
      </x:c>
      <x:c r="AC82" s="38" t="str">
        <x:v>課後延伸／親子討論</x:v>
      </x:c>
    </x:row>
    <x:row r="83" ht="105" customHeight="1">
      <x:c r="A83" s="40" t="n">
        <x:v>82</x:v>
      </x:c>
      <x:c r="B83" s="40" t="str">
        <x:v>第 2 年</x:v>
      </x:c>
      <x:c r="C83" s="40" t="str">
        <x:v>M06 Maker Lab：micro:bit 電子與感測</x:v>
      </x:c>
      <x:c r="D83" s="40" t="n">
        <x:v>2</x:v>
      </x:c>
      <x:c r="E83" s="40" t="str">
        <x:v>Hello micro:bit：LED 與按鈕</x:v>
      </x:c>
      <x:c r="F83" s="40" t="str">
        <x:v>電子／感測器／無線通訊／實體運算</x:v>
      </x:c>
      <x:c r="G83" s="40" t="str">
        <x:v>認識輸入、輸出、下載程式與事件</x:v>
      </x:c>
      <x:c r="H83" s="40" t="str">
        <x:v>00–10 任務開場：Hello micro:bit：LED 與按鈕
10–25 概念示範：認識輸入、輸出、下載程式與事件
25–65 父子共同實作：做名字徽章，A/B 鍵顯示不同表情
65–75 休息／走動／聊天
75–105 孩子獨立改造：增加一個自選規則或功能
105–115 角色互換：孩子教爸爸操作與原理
115–120 錄音總結、作品命名、版本存檔</x:v>
      </x:c>
      <x:c r="I83" s="40" t="str">
        <x:v>做名字徽章，A/B 鍵顯示不同表情</x:v>
      </x:c>
      <x:c r="J83" s="40" t="str">
        <x:v>Maker 挑戰</x:v>
      </x:c>
      <x:c r="K83" s="40" t="str">
        <x:v>互動名牌</x:v>
      </x:c>
      <x:c r="L83" s="40" t="str">
        <x:v>動手與安全</x:v>
      </x:c>
      <x:c r="M83" s="40" t="str">
        <x:v>檢查 micro:bit、USB、電池與零件；只做低壓安全實驗。</x:v>
      </x:c>
      <x:c r="N83" s="40" t="str">
        <x:v>15–30 分鐘自由改造；寫三句學習日誌：我做了什麼、哪裡卡住、下次想加什麼。</x:v>
      </x:c>
      <x:c r="O83" s="40" t="str">
        <x:v>完成「互動名牌」；能不用看稿說出核心原理；能指出至少一個錯誤、限制或安全注意事項。</x:v>
      </x:c>
      <x:c r="P83" s="40" t="str">
        <x:v>R05</x:v>
      </x:c>
      <x:c r="Q83" s="40" t="str">
        <x:v>https://microbit.org/</x:v>
      </x:c>
      <x:c r="R83" s="40" t="str">
        <x:v>請孩子回答：1. Hello micro:bit：LED 與按鈕在解決什麼？2. 我怎麼做？3. 哪裡容易錯？4. 生活中哪裡會用到？</x:v>
      </x:c>
      <x:c r="S83" s="40" t="str">
        <x:v>父子科技課 #082｜Hello micro:bit：LED 與按鈕</x:v>
      </x:c>
      <x:c r="T83" s="40" t="n">
        <x:v>2</x:v>
      </x:c>
      <x:c r="U83" s="38" t="str">
        <x:v>Hello micro:bit LED 與按鈕 microbit physical computing coding beginner tutorial micro:bit</x:v>
      </x:c>
      <x:c r="V83" s="38" t="str">
        <x:v>https://www.youtube.com/results?search_query=Hello+micro%3Abit+LED+%E8%88%87%E6%8C%89%E9%88%95+microbit+physical+computing+coding+beginner+tutorial+micro%3Abit</x:v>
      </x:c>
      <x:c r="W83" s="38" t="str">
        <x:v>課前暖身</x:v>
      </x:c>
      <x:c r="X83" s="38" t="str">
        <x:v>Hello micro:bit LED 與按鈕 認識輸入、輸出、下載程式與事件 hands on project for kids microbit physical computing coding</x:v>
      </x:c>
      <x:c r="Y83" s="38" t="str">
        <x:v>https://www.youtube.com/results?search_query=Hello+micro%3Abit+LED+%E8%88%87%E6%8C%89%E9%88%95+%E8%AA%8D%E8%AD%98%E8%BC%B8%E5%85%A5%E3%80%81%E8%BC%B8%E5%87%BA%E3%80%81%E4%B8%8B%E8%BC%89%E7%A8%8B%E5%BC%8F%E8%88%87%E4%BA%8B%E4%BB%B6+hands+on+project+for+kids+microbit+physical+computing+coding</x:v>
      </x:c>
      <x:c r="Z83" s="38" t="str">
        <x:v>課中實作參考</x:v>
      </x:c>
      <x:c r="AA83" s="38" t="str">
        <x:v>Hello micro:bit LED 與按鈕 中文 教學 原理 安全 親子 microbit physical computing coding</x:v>
      </x:c>
      <x:c r="AB83" s="38" t="str">
        <x:v>https://www.youtube.com/results?search_query=Hello+micro%3Abit+LED+%E8%88%87%E6%8C%89%E9%88%95+%E4%B8%AD%E6%96%87+%E6%95%99%E5%AD%B8+%E5%8E%9F%E7%90%86+%E5%AE%89%E5%85%A8+%E8%A6%AA%E5%AD%90+microbit+physical+computing+coding</x:v>
      </x:c>
      <x:c r="AC83" s="38" t="str">
        <x:v>課後延伸／親子討論</x:v>
      </x:c>
    </x:row>
    <x:row r="84" ht="105" customHeight="1">
      <x:c r="A84" s="40" t="n">
        <x:v>83</x:v>
      </x:c>
      <x:c r="B84" s="40" t="str">
        <x:v>第 2 年</x:v>
      </x:c>
      <x:c r="C84" s="40" t="str">
        <x:v>M06 Maker Lab：micro:bit 電子與感測</x:v>
      </x:c>
      <x:c r="D84" s="40" t="n">
        <x:v>3</x:v>
      </x:c>
      <x:c r="E84" s="40" t="str">
        <x:v>感測器就是機器的感官</x:v>
      </x:c>
      <x:c r="F84" s="40" t="str">
        <x:v>電子／感測器／無線通訊／實體運算</x:v>
      </x:c>
      <x:c r="G84" s="40" t="str">
        <x:v>理解量測、取樣、單位、範圍與雜訊</x:v>
      </x:c>
      <x:c r="H84" s="40" t="str">
        <x:v>00–10 任務開場：感測器就是機器的感官
10–25 概念示範：理解量測、取樣、單位、範圍與雜訊
25–65 父子共同實作：讀取光線或溫度，手遮/吹氣觀察數值變化
65–75 休息／走動／聊天
75–105 孩子獨立改造：增加一個自選規則或功能
105–115 角色互換：孩子教爸爸操作與原理
115–120 錄音總結、作品命名、版本存檔</x:v>
      </x:c>
      <x:c r="I84" s="40" t="str">
        <x:v>讀取光線或溫度，手遮/吹氣觀察數值變化</x:v>
      </x:c>
      <x:c r="J84" s="40" t="str">
        <x:v>故障卡</x:v>
      </x:c>
      <x:c r="K84" s="40" t="str">
        <x:v>感測器觀察表</x:v>
      </x:c>
      <x:c r="L84" s="40" t="str">
        <x:v>動手與安全</x:v>
      </x:c>
      <x:c r="M84" s="40" t="str">
        <x:v>檢查 micro:bit、USB、電池與零件；只做低壓安全實驗。</x:v>
      </x:c>
      <x:c r="N84" s="40" t="str">
        <x:v>15–30 分鐘自由改造；寫三句學習日誌：我做了什麼、哪裡卡住、下次想加什麼。</x:v>
      </x:c>
      <x:c r="O84" s="40" t="str">
        <x:v>完成「感測器觀察表」；能不用看稿說出核心原理；能指出至少一個錯誤、限制或安全注意事項。</x:v>
      </x:c>
      <x:c r="P84" s="40" t="str">
        <x:v>R05</x:v>
      </x:c>
      <x:c r="Q84" s="40" t="str">
        <x:v>https://microbit.org/</x:v>
      </x:c>
      <x:c r="R84" s="40" t="str">
        <x:v>請孩子回答：1. 感測器就是機器的感官在解決什麼？2. 我怎麼做？3. 哪裡容易錯？4. 生活中哪裡會用到？</x:v>
      </x:c>
      <x:c r="S84" s="40" t="str">
        <x:v>父子科技課 #083｜感測器就是機器的感官</x:v>
      </x:c>
      <x:c r="T84" s="40" t="n">
        <x:v>2</x:v>
      </x:c>
      <x:c r="U84" s="38" t="str">
        <x:v>感測器就是機器的感官 microbit physical computing coding beginner tutorial micro:bit</x:v>
      </x:c>
      <x:c r="V84" s="38" t="str">
        <x:v>https://www.youtube.com/results?search_query=%E6%84%9F%E6%B8%AC%E5%99%A8%E5%B0%B1%E6%98%AF%E6%A9%9F%E5%99%A8%E7%9A%84%E6%84%9F%E5%AE%98+microbit+physical+computing+coding+beginner+tutorial+micro%3Abit</x:v>
      </x:c>
      <x:c r="W84" s="38" t="str">
        <x:v>課前暖身</x:v>
      </x:c>
      <x:c r="X84" s="38" t="str">
        <x:v>感測器就是機器的感官 理解量測、取樣、單位、範圍與雜訊 hands on project for kids microbit physical computing coding</x:v>
      </x:c>
      <x:c r="Y84" s="38" t="str">
        <x:v>https://www.youtube.com/results?search_query=%E6%84%9F%E6%B8%AC%E5%99%A8%E5%B0%B1%E6%98%AF%E6%A9%9F%E5%99%A8%E7%9A%84%E6%84%9F%E5%AE%98+%E7%90%86%E8%A7%A3%E9%87%8F%E6%B8%AC%E3%80%81%E5%8F%96%E6%A8%A3%E3%80%81%E5%96%AE%E4%BD%8D%E3%80%81%E7%AF%84%E5%9C%8D%E8%88%87%E9%9B%9C%E8%A8%8A+hands+on+project+for+kids+microbit+physical+computing+coding</x:v>
      </x:c>
      <x:c r="Z84" s="38" t="str">
        <x:v>課中實作參考</x:v>
      </x:c>
      <x:c r="AA84" s="38" t="str">
        <x:v>感測器就是機器的感官 中文 教學 原理 安全 親子 microbit physical computing coding</x:v>
      </x:c>
      <x:c r="AB84" s="38" t="str">
        <x:v>https://www.youtube.com/results?search_query=%E6%84%9F%E6%B8%AC%E5%99%A8%E5%B0%B1%E6%98%AF%E6%A9%9F%E5%99%A8%E7%9A%84%E6%84%9F%E5%AE%98+%E4%B8%AD%E6%96%87+%E6%95%99%E5%AD%B8+%E5%8E%9F%E7%90%86+%E5%AE%89%E5%85%A8+%E8%A6%AA%E5%AD%90+microbit+physical+computing+coding</x:v>
      </x:c>
      <x:c r="AC84" s="38" t="str">
        <x:v>課後延伸／親子討論</x:v>
      </x:c>
    </x:row>
    <x:row r="85" ht="105" customHeight="1">
      <x:c r="A85" s="40" t="n">
        <x:v>84</x:v>
      </x:c>
      <x:c r="B85" s="40" t="str">
        <x:v>第 2 年</x:v>
      </x:c>
      <x:c r="C85" s="40" t="str">
        <x:v>M06 Maker Lab：micro:bit 電子與感測</x:v>
      </x:c>
      <x:c r="D85" s="40" t="n">
        <x:v>4</x:v>
      </x:c>
      <x:c r="E85" s="40" t="str">
        <x:v>加速度計：步數與動作偵測</x:v>
      </x:c>
      <x:c r="F85" s="40" t="str">
        <x:v>電子／感測器／無線通訊／實體運算</x:v>
      </x:c>
      <x:c r="G85" s="40" t="str">
        <x:v>理解三軸、閾值與事件判定</x:v>
      </x:c>
      <x:c r="H85" s="40" t="str">
        <x:v>00–10 任務開場：加速度計：步數與動作偵測
10–25 概念示範：理解三軸、閾值與事件判定
25–65 父子共同實作：製作搖一搖骰子與簡易計步器，比較誤判
65–75 休息／走動／聊天
75–105 孩子獨立改造：增加一個自選規則或功能
105–115 角色互換：孩子教爸爸操作與原理
115–120 錄音總結、作品命名、版本存檔</x:v>
      </x:c>
      <x:c r="I85" s="40" t="str">
        <x:v>製作搖一搖骰子與簡易計步器，比較誤判</x:v>
      </x:c>
      <x:c r="J85" s="40" t="str">
        <x:v>家庭展覽</x:v>
      </x:c>
      <x:c r="K85" s="40" t="str">
        <x:v>動作偵測器</x:v>
      </x:c>
      <x:c r="L85" s="40" t="str">
        <x:v>動手與安全</x:v>
      </x:c>
      <x:c r="M85" s="40" t="str">
        <x:v>檢查 micro:bit、USB、電池與零件；只做低壓安全實驗。</x:v>
      </x:c>
      <x:c r="N85" s="40" t="str">
        <x:v>15–30 分鐘自由改造；寫三句學習日誌：我做了什麼、哪裡卡住、下次想加什麼。</x:v>
      </x:c>
      <x:c r="O85" s="40" t="str">
        <x:v>完成「動作偵測器」；能不用看稿說出核心原理；能指出至少一個錯誤、限制或安全注意事項。</x:v>
      </x:c>
      <x:c r="P85" s="40" t="str">
        <x:v>R06</x:v>
      </x:c>
      <x:c r="Q85" s="40" t="str">
        <x:v>https://microbit.org/projects/make-it-code-it/</x:v>
      </x:c>
      <x:c r="R85" s="40" t="str">
        <x:v>請孩子回答：1. 加速度計：步數與動作偵測在解決什麼？2. 我怎麼做？3. 哪裡容易錯？4. 生活中哪裡會用到？</x:v>
      </x:c>
      <x:c r="S85" s="40" t="str">
        <x:v>父子科技課 #084｜加速度計：步數與動作偵測</x:v>
      </x:c>
      <x:c r="T85" s="40" t="n">
        <x:v>2</x:v>
      </x:c>
      <x:c r="U85" s="38" t="str">
        <x:v>加速度計 步數與動作偵測 microbit physical computing coding beginner tutorial micro:bit</x:v>
      </x:c>
      <x:c r="V85" s="38" t="str">
        <x:v>https://www.youtube.com/results?search_query=%E5%8A%A0%E9%80%9F%E5%BA%A6%E8%A8%88+%E6%AD%A5%E6%95%B8%E8%88%87%E5%8B%95%E4%BD%9C%E5%81%B5%E6%B8%AC+microbit+physical+computing+coding+beginner+tutorial+micro%3Abit</x:v>
      </x:c>
      <x:c r="W85" s="38" t="str">
        <x:v>課前暖身</x:v>
      </x:c>
      <x:c r="X85" s="38" t="str">
        <x:v>加速度計 步數與動作偵測 理解三軸、閾值與事件判定 hands on project for kids microbit physical computing coding</x:v>
      </x:c>
      <x:c r="Y85" s="38" t="str">
        <x:v>https://www.youtube.com/results?search_query=%E5%8A%A0%E9%80%9F%E5%BA%A6%E8%A8%88+%E6%AD%A5%E6%95%B8%E8%88%87%E5%8B%95%E4%BD%9C%E5%81%B5%E6%B8%AC+%E7%90%86%E8%A7%A3%E4%B8%89%E8%BB%B8%E3%80%81%E9%96%BE%E5%80%BC%E8%88%87%E4%BA%8B%E4%BB%B6%E5%88%A4%E5%AE%9A+hands+on+project+for+kids+microbit+physical+computing+coding</x:v>
      </x:c>
      <x:c r="Z85" s="38" t="str">
        <x:v>課中實作參考</x:v>
      </x:c>
      <x:c r="AA85" s="38" t="str">
        <x:v>加速度計 步數與動作偵測 中文 教學 原理 安全 親子 microbit physical computing coding</x:v>
      </x:c>
      <x:c r="AB85" s="38" t="str">
        <x:v>https://www.youtube.com/results?search_query=%E5%8A%A0%E9%80%9F%E5%BA%A6%E8%A8%88+%E6%AD%A5%E6%95%B8%E8%88%87%E5%8B%95%E4%BD%9C%E5%81%B5%E6%B8%AC+%E4%B8%AD%E6%96%87+%E6%95%99%E5%AD%B8+%E5%8E%9F%E7%90%86+%E5%AE%89%E5%85%A8+%E8%A6%AA%E5%AD%90+microbit+physical+computing+coding</x:v>
      </x:c>
      <x:c r="AC85" s="38" t="str">
        <x:v>課後延伸／親子討論</x:v>
      </x:c>
    </x:row>
    <x:row r="86" ht="105" customHeight="1">
      <x:c r="A86" s="40" t="n">
        <x:v>85</x:v>
      </x:c>
      <x:c r="B86" s="40" t="str">
        <x:v>第 2 年</x:v>
      </x:c>
      <x:c r="C86" s="40" t="str">
        <x:v>M06 Maker Lab：micro:bit 電子與感測</x:v>
      </x:c>
      <x:c r="D86" s="40" t="n">
        <x:v>5</x:v>
      </x:c>
      <x:c r="E86" s="40" t="str">
        <x:v>電子羅盤尋寶</x:v>
      </x:c>
      <x:c r="F86" s="40" t="str">
        <x:v>電子／感測器／無線通訊／實體運算</x:v>
      </x:c>
      <x:c r="G86" s="40" t="str">
        <x:v>理解方向、校正與環境干擾</x:v>
      </x:c>
      <x:c r="H86" s="40" t="str">
        <x:v>00–10 任務開場：電子羅盤尋寶
10–25 概念示範：理解方向、校正與環境干擾
25–65 父子共同實作：爸爸藏寶，micro:bit 顯示轉向提示
65–75 休息／走動／聊天
75–105 孩子獨立改造：增加一個自選規則或功能
105–115 角色互換：孩子教爸爸操作與原理
115–120 錄音總結、作品命名、版本存檔</x:v>
      </x:c>
      <x:c r="I86" s="40" t="str">
        <x:v>爸爸藏寶，micro:bit 顯示轉向提示</x:v>
      </x:c>
      <x:c r="J86" s="40" t="str">
        <x:v>尋寶</x:v>
      </x:c>
      <x:c r="K86" s="40" t="str">
        <x:v>羅盤尋寶器</x:v>
      </x:c>
      <x:c r="L86" s="40" t="str">
        <x:v>動手與安全</x:v>
      </x:c>
      <x:c r="M86" s="40" t="str">
        <x:v>檢查 micro:bit、USB、電池與零件；只做低壓安全實驗。</x:v>
      </x:c>
      <x:c r="N86" s="40" t="str">
        <x:v>15–30 分鐘自由改造；寫三句學習日誌：我做了什麼、哪裡卡住、下次想加什麼。</x:v>
      </x:c>
      <x:c r="O86" s="40" t="str">
        <x:v>完成「羅盤尋寶器」；能不用看稿說出核心原理；能指出至少一個錯誤、限制或安全注意事項。</x:v>
      </x:c>
      <x:c r="P86" s="40" t="str">
        <x:v>R06</x:v>
      </x:c>
      <x:c r="Q86" s="40" t="str">
        <x:v>https://microbit.org/projects/make-it-code-it/</x:v>
      </x:c>
      <x:c r="R86" s="40" t="str">
        <x:v>請孩子回答：1. 電子羅盤尋寶在解決什麼？2. 我怎麼做？3. 哪裡容易錯？4. 生活中哪裡會用到？</x:v>
      </x:c>
      <x:c r="S86" s="40" t="str">
        <x:v>父子科技課 #085｜電子羅盤尋寶</x:v>
      </x:c>
      <x:c r="T86" s="40" t="n">
        <x:v>2</x:v>
      </x:c>
      <x:c r="U86" s="38" t="str">
        <x:v>電子羅盤尋寶 microbit physical computing coding beginner tutorial micro:bit</x:v>
      </x:c>
      <x:c r="V86" s="38" t="str">
        <x:v>https://www.youtube.com/results?search_query=%E9%9B%BB%E5%AD%90%E7%BE%85%E7%9B%A4%E5%B0%8B%E5%AF%B6+microbit+physical+computing+coding+beginner+tutorial+micro%3Abit</x:v>
      </x:c>
      <x:c r="W86" s="38" t="str">
        <x:v>課前暖身</x:v>
      </x:c>
      <x:c r="X86" s="38" t="str">
        <x:v>電子羅盤尋寶 理解方向、校正與環境干擾 hands on project for kids microbit physical computing coding</x:v>
      </x:c>
      <x:c r="Y86" s="38" t="str">
        <x:v>https://www.youtube.com/results?search_query=%E9%9B%BB%E5%AD%90%E7%BE%85%E7%9B%A4%E5%B0%8B%E5%AF%B6+%E7%90%86%E8%A7%A3%E6%96%B9%E5%90%91%E3%80%81%E6%A0%A1%E6%AD%A3%E8%88%87%E7%92%B0%E5%A2%83%E5%B9%B2%E6%93%BE+hands+on+project+for+kids+microbit+physical+computing+coding</x:v>
      </x:c>
      <x:c r="Z86" s="38" t="str">
        <x:v>課中實作參考</x:v>
      </x:c>
      <x:c r="AA86" s="38" t="str">
        <x:v>電子羅盤尋寶 中文 教學 原理 安全 親子 microbit physical computing coding</x:v>
      </x:c>
      <x:c r="AB86" s="38" t="str">
        <x:v>https://www.youtube.com/results?search_query=%E9%9B%BB%E5%AD%90%E7%BE%85%E7%9B%A4%E5%B0%8B%E5%AF%B6+%E4%B8%AD%E6%96%87+%E6%95%99%E5%AD%B8+%E5%8E%9F%E7%90%86+%E5%AE%89%E5%85%A8+%E8%A6%AA%E5%AD%90+microbit+physical+computing+coding</x:v>
      </x:c>
      <x:c r="AC86" s="38" t="str">
        <x:v>課後延伸／親子討論</x:v>
      </x:c>
    </x:row>
    <x:row r="87" ht="105" customHeight="1">
      <x:c r="A87" s="40" t="n">
        <x:v>86</x:v>
      </x:c>
      <x:c r="B87" s="40" t="str">
        <x:v>第 2 年</x:v>
      </x:c>
      <x:c r="C87" s="40" t="str">
        <x:v>M06 Maker Lab：micro:bit 電子與感測</x:v>
      </x:c>
      <x:c r="D87" s="40" t="n">
        <x:v>6</x:v>
      </x:c>
      <x:c r="E87" s="40" t="str">
        <x:v>溫度警報與舒適區</x:v>
      </x:c>
      <x:c r="F87" s="40" t="str">
        <x:v>電子／感測器／無線通訊／實體運算</x:v>
      </x:c>
      <x:c r="G87" s="40" t="str">
        <x:v>設定閾值、圖示與聲音回饋</x:v>
      </x:c>
      <x:c r="H87" s="40" t="str">
        <x:v>00–10 任務開場：溫度警報與舒適區
10–25 概念示範：設定閾值、圖示與聲音回饋
25–65 父子共同實作：量三個地點溫度並設計過熱/過冷提示
65–75 休息／走動／聊天
75–105 孩子獨立改造：增加一個自選規則或功能
105–115 角色互換：孩子教爸爸操作與原理
115–120 錄音總結、作品命名、版本存檔</x:v>
      </x:c>
      <x:c r="I87" s="40" t="str">
        <x:v>量三個地點溫度並設計過熱/過冷提示</x:v>
      </x:c>
      <x:c r="J87" s="40" t="str">
        <x:v>Maker 挑戰</x:v>
      </x:c>
      <x:c r="K87" s="40" t="str">
        <x:v>房間溫度警報</x:v>
      </x:c>
      <x:c r="L87" s="40" t="str">
        <x:v>動手與安全</x:v>
      </x:c>
      <x:c r="M87" s="40" t="str">
        <x:v>檢查 micro:bit、USB、電池與零件；只做低壓安全實驗。</x:v>
      </x:c>
      <x:c r="N87" s="40" t="str">
        <x:v>15–30 分鐘自由改造；寫三句學習日誌：我做了什麼、哪裡卡住、下次想加什麼。</x:v>
      </x:c>
      <x:c r="O87" s="40" t="str">
        <x:v>完成「房間溫度警報」；能不用看稿說出核心原理；能指出至少一個錯誤、限制或安全注意事項。</x:v>
      </x:c>
      <x:c r="P87" s="40" t="str">
        <x:v>R06</x:v>
      </x:c>
      <x:c r="Q87" s="40" t="str">
        <x:v>https://microbit.org/projects/make-it-code-it/</x:v>
      </x:c>
      <x:c r="R87" s="40" t="str">
        <x:v>請孩子回答：1. 溫度警報與舒適區在解決什麼？2. 我怎麼做？3. 哪裡容易錯？4. 生活中哪裡會用到？</x:v>
      </x:c>
      <x:c r="S87" s="40" t="str">
        <x:v>父子科技課 #086｜溫度警報與舒適區</x:v>
      </x:c>
      <x:c r="T87" s="40" t="n">
        <x:v>2</x:v>
      </x:c>
      <x:c r="U87" s="38" t="str">
        <x:v>溫度警報與舒適區 microbit physical computing coding beginner tutorial micro:bit</x:v>
      </x:c>
      <x:c r="V87" s="38" t="str">
        <x:v>https://www.youtube.com/results?search_query=%E6%BA%AB%E5%BA%A6%E8%AD%A6%E5%A0%B1%E8%88%87%E8%88%92%E9%81%A9%E5%8D%80+microbit+physical+computing+coding+beginner+tutorial+micro%3Abit</x:v>
      </x:c>
      <x:c r="W87" s="38" t="str">
        <x:v>課前暖身</x:v>
      </x:c>
      <x:c r="X87" s="38" t="str">
        <x:v>溫度警報與舒適區 設定閾值、圖示與聲音回饋 hands on project for kids microbit physical computing coding</x:v>
      </x:c>
      <x:c r="Y87" s="38" t="str">
        <x:v>https://www.youtube.com/results?search_query=%E6%BA%AB%E5%BA%A6%E8%AD%A6%E5%A0%B1%E8%88%87%E8%88%92%E9%81%A9%E5%8D%80+%E8%A8%AD%E5%AE%9A%E9%96%BE%E5%80%BC%E3%80%81%E5%9C%96%E7%A4%BA%E8%88%87%E8%81%B2%E9%9F%B3%E5%9B%9E%E9%A5%8B+hands+on+project+for+kids+microbit+physical+computing+coding</x:v>
      </x:c>
      <x:c r="Z87" s="38" t="str">
        <x:v>課中實作參考</x:v>
      </x:c>
      <x:c r="AA87" s="38" t="str">
        <x:v>溫度警報與舒適區 中文 教學 原理 安全 親子 microbit physical computing coding</x:v>
      </x:c>
      <x:c r="AB87" s="38" t="str">
        <x:v>https://www.youtube.com/results?search_query=%E6%BA%AB%E5%BA%A6%E8%AD%A6%E5%A0%B1%E8%88%87%E8%88%92%E9%81%A9%E5%8D%80+%E4%B8%AD%E6%96%87+%E6%95%99%E5%AD%B8+%E5%8E%9F%E7%90%86+%E5%AE%89%E5%85%A8+%E8%A6%AA%E5%AD%90+microbit+physical+computing+coding</x:v>
      </x:c>
      <x:c r="AC87" s="38" t="str">
        <x:v>課後延伸／親子討論</x:v>
      </x:c>
    </x:row>
    <x:row r="88" ht="105" customHeight="1">
      <x:c r="A88" s="40" t="n">
        <x:v>87</x:v>
      </x:c>
      <x:c r="B88" s="40" t="str">
        <x:v>第 2 年</x:v>
      </x:c>
      <x:c r="C88" s="40" t="str">
        <x:v>M06 Maker Lab：micro:bit 電子與感測</x:v>
      </x:c>
      <x:c r="D88" s="40" t="n">
        <x:v>7</x:v>
      </x:c>
      <x:c r="E88" s="40" t="str">
        <x:v>Radio：兩台裝置秘密通訊</x:v>
      </x:c>
      <x:c r="F88" s="40" t="str">
        <x:v>電子／感測器／無線通訊／實體運算</x:v>
      </x:c>
      <x:c r="G88" s="40" t="str">
        <x:v>理解頻道、訊息、傳送者與接收者</x:v>
      </x:c>
      <x:c r="H88" s="40" t="str">
        <x:v>00–10 任務開場：Radio：兩台裝置秘密通訊
10–25 概念示範：理解頻道、訊息、傳送者與接收者
25–65 父子共同實作：製作父子無線剪刀石頭布或求救按鈕
65–75 休息／走動／聊天
75–105 孩子獨立改造：增加一個自選規則或功能
105–115 角色互換：孩子教爸爸操作與原理
115–120 錄音總結、作品命名、版本存檔</x:v>
      </x:c>
      <x:c r="I88" s="40" t="str">
        <x:v>製作父子無線剪刀石頭布或求救按鈕</x:v>
      </x:c>
      <x:c r="J88" s="40" t="str">
        <x:v>故障卡</x:v>
      </x:c>
      <x:c r="K88" s="40" t="str">
        <x:v>無線雙人遊戲</x:v>
      </x:c>
      <x:c r="L88" s="40" t="str">
        <x:v>動手與安全</x:v>
      </x:c>
      <x:c r="M88" s="40" t="str">
        <x:v>檢查 micro:bit、USB、電池與零件；只做低壓安全實驗。</x:v>
      </x:c>
      <x:c r="N88" s="40" t="str">
        <x:v>15–30 分鐘自由改造；寫三句學習日誌：我做了什麼、哪裡卡住、下次想加什麼。</x:v>
      </x:c>
      <x:c r="O88" s="40" t="str">
        <x:v>完成「無線雙人遊戲」；能不用看稿說出核心原理；能指出至少一個錯誤、限制或安全注意事項。</x:v>
      </x:c>
      <x:c r="P88" s="40" t="str">
        <x:v>R05</x:v>
      </x:c>
      <x:c r="Q88" s="40" t="str">
        <x:v>https://microbit.org/</x:v>
      </x:c>
      <x:c r="R88" s="40" t="str">
        <x:v>請孩子回答：1. Radio：兩台裝置秘密通訊在解決什麼？2. 我怎麼做？3. 哪裡容易錯？4. 生活中哪裡會用到？</x:v>
      </x:c>
      <x:c r="S88" s="40" t="str">
        <x:v>父子科技課 #087｜Radio：兩台裝置秘密通訊</x:v>
      </x:c>
      <x:c r="T88" s="40" t="n">
        <x:v>2</x:v>
      </x:c>
      <x:c r="U88" s="38" t="str">
        <x:v>Radio 兩台裝置秘密通訊 microbit physical computing coding beginner tutorial micro:bit</x:v>
      </x:c>
      <x:c r="V88" s="38" t="str">
        <x:v>https://www.youtube.com/results?search_query=Radio+%E5%85%A9%E5%8F%B0%E8%A3%9D%E7%BD%AE%E7%A7%98%E5%AF%86%E9%80%9A%E8%A8%8A+microbit+physical+computing+coding+beginner+tutorial+micro%3Abit</x:v>
      </x:c>
      <x:c r="W88" s="38" t="str">
        <x:v>課前暖身</x:v>
      </x:c>
      <x:c r="X88" s="38" t="str">
        <x:v>Radio 兩台裝置秘密通訊 理解頻道、訊息、傳送者與接收者 hands on project for kids microbit physical computing coding</x:v>
      </x:c>
      <x:c r="Y88" s="38" t="str">
        <x:v>https://www.youtube.com/results?search_query=Radio+%E5%85%A9%E5%8F%B0%E8%A3%9D%E7%BD%AE%E7%A7%98%E5%AF%86%E9%80%9A%E8%A8%8A+%E7%90%86%E8%A7%A3%E9%A0%BB%E9%81%93%E3%80%81%E8%A8%8A%E6%81%AF%E3%80%81%E5%82%B3%E9%80%81%E8%80%85%E8%88%87%E6%8E%A5%E6%94%B6%E8%80%85+hands+on+project+for+kids+microbit+physical+computing+coding</x:v>
      </x:c>
      <x:c r="Z88" s="38" t="str">
        <x:v>課中實作參考</x:v>
      </x:c>
      <x:c r="AA88" s="38" t="str">
        <x:v>Radio 兩台裝置秘密通訊 中文 教學 原理 安全 親子 microbit physical computing coding</x:v>
      </x:c>
      <x:c r="AB88" s="38" t="str">
        <x:v>https://www.youtube.com/results?search_query=Radio+%E5%85%A9%E5%8F%B0%E8%A3%9D%E7%BD%AE%E7%A7%98%E5%AF%86%E9%80%9A%E8%A8%8A+%E4%B8%AD%E6%96%87+%E6%95%99%E5%AD%B8+%E5%8E%9F%E7%90%86+%E5%AE%89%E5%85%A8+%E8%A6%AA%E5%AD%90+microbit+physical+computing+coding</x:v>
      </x:c>
      <x:c r="AC88" s="38" t="str">
        <x:v>課後延伸／親子討論</x:v>
      </x:c>
    </x:row>
    <x:row r="89" ht="105" customHeight="1">
      <x:c r="A89" s="40" t="n">
        <x:v>88</x:v>
      </x:c>
      <x:c r="B89" s="40" t="str">
        <x:v>第 2 年</x:v>
      </x:c>
      <x:c r="C89" s="40" t="str">
        <x:v>M06 Maker Lab：micro:bit 電子與感測</x:v>
      </x:c>
      <x:c r="D89" s="40" t="n">
        <x:v>8</x:v>
      </x:c>
      <x:c r="E89" s="40" t="str">
        <x:v>音樂、節拍與蜂鳴器</x:v>
      </x:c>
      <x:c r="F89" s="40" t="str">
        <x:v>電子／感測器／無線通訊／實體運算</x:v>
      </x:c>
      <x:c r="G89" s="40" t="str">
        <x:v>用頻率、時值與序列控制聲音</x:v>
      </x:c>
      <x:c r="H89" s="40" t="str">
        <x:v>00–10 任務開場：音樂、節拍與蜂鳴器
10–25 概念示範：用頻率、時值與序列控制聲音
25–65 父子共同實作：把家庭暗號做成旋律，按鍵播放
65–75 休息／走動／聊天
75–105 孩子獨立改造：增加一個自選規則或功能
105–115 角色互換：孩子教爸爸操作與原理
115–120 錄音總結、作品命名、版本存檔</x:v>
      </x:c>
      <x:c r="I89" s="40" t="str">
        <x:v>把家庭暗號做成旋律，按鍵播放</x:v>
      </x:c>
      <x:c r="J89" s="40" t="str">
        <x:v>家庭展覽</x:v>
      </x:c>
      <x:c r="K89" s="40" t="str">
        <x:v>電子門鈴旋律</x:v>
      </x:c>
      <x:c r="L89" s="40" t="str">
        <x:v>動手與安全</x:v>
      </x:c>
      <x:c r="M89" s="40" t="str">
        <x:v>檢查 micro:bit、USB、電池與零件；只做低壓安全實驗。</x:v>
      </x:c>
      <x:c r="N89" s="40" t="str">
        <x:v>15–30 分鐘自由改造；寫三句學習日誌：我做了什麼、哪裡卡住、下次想加什麼。</x:v>
      </x:c>
      <x:c r="O89" s="40" t="str">
        <x:v>完成「電子門鈴旋律」；能不用看稿說出核心原理；能指出至少一個錯誤、限制或安全注意事項。</x:v>
      </x:c>
      <x:c r="P89" s="40" t="str">
        <x:v>R06</x:v>
      </x:c>
      <x:c r="Q89" s="40" t="str">
        <x:v>https://microbit.org/projects/make-it-code-it/</x:v>
      </x:c>
      <x:c r="R89" s="40" t="str">
        <x:v>請孩子回答：1. 音樂、節拍與蜂鳴器在解決什麼？2. 我怎麼做？3. 哪裡容易錯？4. 生活中哪裡會用到？</x:v>
      </x:c>
      <x:c r="S89" s="40" t="str">
        <x:v>父子科技課 #088｜音樂、節拍與蜂鳴器</x:v>
      </x:c>
      <x:c r="T89" s="40" t="n">
        <x:v>2</x:v>
      </x:c>
      <x:c r="U89" s="38" t="str">
        <x:v>音樂、節拍與蜂鳴器 microbit physical computing coding beginner tutorial micro:bit</x:v>
      </x:c>
      <x:c r="V89" s="38" t="str">
        <x:v>https://www.youtube.com/results?search_query=%E9%9F%B3%E6%A8%82%E3%80%81%E7%AF%80%E6%8B%8D%E8%88%87%E8%9C%82%E9%B3%B4%E5%99%A8+microbit+physical+computing+coding+beginner+tutorial+micro%3Abit</x:v>
      </x:c>
      <x:c r="W89" s="38" t="str">
        <x:v>課前暖身</x:v>
      </x:c>
      <x:c r="X89" s="38" t="str">
        <x:v>音樂、節拍與蜂鳴器 用頻率、時值與序列控制聲音 hands on project for kids microbit physical computing coding</x:v>
      </x:c>
      <x:c r="Y89" s="38" t="str">
        <x:v>https://www.youtube.com/results?search_query=%E9%9F%B3%E6%A8%82%E3%80%81%E7%AF%80%E6%8B%8D%E8%88%87%E8%9C%82%E9%B3%B4%E5%99%A8+%E7%94%A8%E9%A0%BB%E7%8E%87%E3%80%81%E6%99%82%E5%80%BC%E8%88%87%E5%BA%8F%E5%88%97%E6%8E%A7%E5%88%B6%E8%81%B2%E9%9F%B3+hands+on+project+for+kids+microbit+physical+computing+coding</x:v>
      </x:c>
      <x:c r="Z89" s="38" t="str">
        <x:v>課中實作參考</x:v>
      </x:c>
      <x:c r="AA89" s="38" t="str">
        <x:v>音樂、節拍與蜂鳴器 中文 教學 原理 安全 親子 microbit physical computing coding</x:v>
      </x:c>
      <x:c r="AB89" s="38" t="str">
        <x:v>https://www.youtube.com/results?search_query=%E9%9F%B3%E6%A8%82%E3%80%81%E7%AF%80%E6%8B%8D%E8%88%87%E8%9C%82%E9%B3%B4%E5%99%A8+%E4%B8%AD%E6%96%87+%E6%95%99%E5%AD%B8+%E5%8E%9F%E7%90%86+%E5%AE%89%E5%85%A8+%E8%A6%AA%E5%AD%90+microbit+physical+computing+coding</x:v>
      </x:c>
      <x:c r="AC89" s="38" t="str">
        <x:v>課後延伸／親子討論</x:v>
      </x:c>
    </x:row>
    <x:row r="90" ht="105" customHeight="1">
      <x:c r="A90" s="40" t="n">
        <x:v>89</x:v>
      </x:c>
      <x:c r="B90" s="40" t="str">
        <x:v>第 2 年</x:v>
      </x:c>
      <x:c r="C90" s="40" t="str">
        <x:v>M06 Maker Lab：micro:bit 電子與感測</x:v>
      </x:c>
      <x:c r="D90" s="40" t="n">
        <x:v>9</x:v>
      </x:c>
      <x:c r="E90" s="40" t="str">
        <x:v>伺服馬達：讓程式真的動</x:v>
      </x:c>
      <x:c r="F90" s="40" t="str">
        <x:v>電子／感測器／無線通訊／實體運算</x:v>
      </x:c>
      <x:c r="G90" s="40" t="str">
        <x:v>理解角度、控制訊號與機構限制</x:v>
      </x:c>
      <x:c r="H90" s="40" t="str">
        <x:v>00–10 任務開場：伺服馬達：讓程式真的動
10–25 概念示範：理解角度、控制訊號與機構限制
25–65 父子共同實作：做會揮手的紙板機器人或自動閘門
65–75 休息／走動／聊天
75–105 孩子獨立改造：增加一個自選規則或功能
105–115 角色互換：孩子教爸爸操作與原理
115–120 錄音總結、作品命名、版本存檔</x:v>
      </x:c>
      <x:c r="I90" s="40" t="str">
        <x:v>做會揮手的紙板機器人或自動閘門</x:v>
      </x:c>
      <x:c r="J90" s="40" t="str">
        <x:v>尋寶</x:v>
      </x:c>
      <x:c r="K90" s="40" t="str">
        <x:v>伺服機構</x:v>
      </x:c>
      <x:c r="L90" s="40" t="str">
        <x:v>動手與安全</x:v>
      </x:c>
      <x:c r="M90" s="40" t="str">
        <x:v>檢查 micro:bit、USB、電池與零件；只做低壓安全實驗。</x:v>
      </x:c>
      <x:c r="N90" s="40" t="str">
        <x:v>15–30 分鐘自由改造；寫三句學習日誌：我做了什麼、哪裡卡住、下次想加什麼。</x:v>
      </x:c>
      <x:c r="O90" s="40" t="str">
        <x:v>完成「伺服機構」；能不用看稿說出核心原理；能指出至少一個錯誤、限制或安全注意事項。</x:v>
      </x:c>
      <x:c r="P90" s="40" t="str">
        <x:v>R18</x:v>
      </x:c>
      <x:c r="Q90" s="40" t="str">
        <x:v>https://docs.arduino.cc/</x:v>
      </x:c>
      <x:c r="R90" s="40" t="str">
        <x:v>請孩子回答：1. 伺服馬達：讓程式真的動在解決什麼？2. 我怎麼做？3. 哪裡容易錯？4. 生活中哪裡會用到？</x:v>
      </x:c>
      <x:c r="S90" s="40" t="str">
        <x:v>父子科技課 #089｜伺服馬達：讓程式真的動</x:v>
      </x:c>
      <x:c r="T90" s="40" t="n">
        <x:v>3</x:v>
      </x:c>
      <x:c r="U90" s="38" t="str">
        <x:v>伺服馬達 讓程式真的動 microbit physical computing coding beginner tutorial micro:bit</x:v>
      </x:c>
      <x:c r="V90" s="38" t="str">
        <x:v>https://www.youtube.com/results?search_query=%E4%BC%BA%E6%9C%8D%E9%A6%AC%E9%81%94+%E8%AE%93%E7%A8%8B%E5%BC%8F%E7%9C%9F%E7%9A%84%E5%8B%95+microbit+physical+computing+coding+beginner+tutorial+micro%3Abit</x:v>
      </x:c>
      <x:c r="W90" s="38" t="str">
        <x:v>課前暖身</x:v>
      </x:c>
      <x:c r="X90" s="38" t="str">
        <x:v>伺服馬達 讓程式真的動 理解角度、控制訊號與機構限制 hands on project for kids microbit physical computing coding</x:v>
      </x:c>
      <x:c r="Y90" s="38" t="str">
        <x:v>https://www.youtube.com/results?search_query=%E4%BC%BA%E6%9C%8D%E9%A6%AC%E9%81%94+%E8%AE%93%E7%A8%8B%E5%BC%8F%E7%9C%9F%E7%9A%84%E5%8B%95+%E7%90%86%E8%A7%A3%E8%A7%92%E5%BA%A6%E3%80%81%E6%8E%A7%E5%88%B6%E8%A8%8A%E8%99%9F%E8%88%87%E6%A9%9F%E6%A7%8B%E9%99%90%E5%88%B6+hands+on+project+for+kids+microbit+physical+computing+coding</x:v>
      </x:c>
      <x:c r="Z90" s="38" t="str">
        <x:v>課中實作參考</x:v>
      </x:c>
      <x:c r="AA90" s="38" t="str">
        <x:v>伺服馬達 讓程式真的動 中文 教學 原理 安全 親子 microbit physical computing coding</x:v>
      </x:c>
      <x:c r="AB90" s="38" t="str">
        <x:v>https://www.youtube.com/results?search_query=%E4%BC%BA%E6%9C%8D%E9%A6%AC%E9%81%94+%E8%AE%93%E7%A8%8B%E5%BC%8F%E7%9C%9F%E7%9A%84%E5%8B%95+%E4%B8%AD%E6%96%87+%E6%95%99%E5%AD%B8+%E5%8E%9F%E7%90%86+%E5%AE%89%E5%85%A8+%E8%A6%AA%E5%AD%90+microbit+physical+computing+coding</x:v>
      </x:c>
      <x:c r="AC90" s="38" t="str">
        <x:v>課後延伸／親子討論</x:v>
      </x:c>
    </x:row>
    <x:row r="91" ht="105" customHeight="1">
      <x:c r="A91" s="40" t="n">
        <x:v>90</x:v>
      </x:c>
      <x:c r="B91" s="40" t="str">
        <x:v>第 2 年</x:v>
      </x:c>
      <x:c r="C91" s="40" t="str">
        <x:v>M06 Maker Lab：micro:bit 電子與感測</x:v>
      </x:c>
      <x:c r="D91" s="40" t="n">
        <x:v>10</x:v>
      </x:c>
      <x:c r="E91" s="40" t="str">
        <x:v>資料記錄：環境偵探</x:v>
      </x:c>
      <x:c r="F91" s="40" t="str">
        <x:v>電子／感測器／無線通訊／實體運算</x:v>
      </x:c>
      <x:c r="G91" s="40" t="str">
        <x:v>定時取樣、記錄、標註與比較趨勢</x:v>
      </x:c>
      <x:c r="H91" s="40" t="str">
        <x:v>00–10 任務開場：資料記錄：環境偵探
10–25 概念示範：定時取樣、記錄、標註與比較趨勢
25–65 父子共同實作：每分鐘記錄溫度/光線，找出冷氣或燈光事件
65–75 休息／走動／聊天
75–105 孩子獨立改造：增加一個自選規則或功能
105–115 角色互換：孩子教爸爸操作與原理
115–120 錄音總結、作品命名、版本存檔</x:v>
      </x:c>
      <x:c r="I91" s="40" t="str">
        <x:v>每分鐘記錄溫度/光線，找出冷氣或燈光事件</x:v>
      </x:c>
      <x:c r="J91" s="40" t="str">
        <x:v>Maker 挑戰</x:v>
      </x:c>
      <x:c r="K91" s="40" t="str">
        <x:v>一小時環境資料</x:v>
      </x:c>
      <x:c r="L91" s="40" t="str">
        <x:v>動手與安全</x:v>
      </x:c>
      <x:c r="M91" s="40" t="str">
        <x:v>檢查 micro:bit、USB、電池與零件；只做低壓安全實驗。</x:v>
      </x:c>
      <x:c r="N91" s="40" t="str">
        <x:v>15–30 分鐘自由改造；寫三句學習日誌：我做了什麼、哪裡卡住、下次想加什麼。</x:v>
      </x:c>
      <x:c r="O91" s="40" t="str">
        <x:v>完成「一小時環境資料」；能不用看稿說出核心原理；能指出至少一個錯誤、限制或安全注意事項。</x:v>
      </x:c>
      <x:c r="P91" s="40" t="str">
        <x:v>R05</x:v>
      </x:c>
      <x:c r="Q91" s="40" t="str">
        <x:v>https://microbit.org/</x:v>
      </x:c>
      <x:c r="R91" s="40" t="str">
        <x:v>請孩子回答：1. 資料記錄：環境偵探在解決什麼？2. 我怎麼做？3. 哪裡容易錯？4. 生活中哪裡會用到？</x:v>
      </x:c>
      <x:c r="S91" s="40" t="str">
        <x:v>父子科技課 #090｜資料記錄：環境偵探</x:v>
      </x:c>
      <x:c r="T91" s="40" t="n">
        <x:v>3</x:v>
      </x:c>
      <x:c r="U91" s="38" t="str">
        <x:v>資料記錄 環境偵探 microbit physical computing coding beginner tutorial micro:bit</x:v>
      </x:c>
      <x:c r="V91" s="38" t="str">
        <x:v>https://www.youtube.com/results?search_query=%E8%B3%87%E6%96%99%E8%A8%98%E9%8C%84+%E7%92%B0%E5%A2%83%E5%81%B5%E6%8E%A2+microbit+physical+computing+coding+beginner+tutorial+micro%3Abit</x:v>
      </x:c>
      <x:c r="W91" s="38" t="str">
        <x:v>課前暖身</x:v>
      </x:c>
      <x:c r="X91" s="38" t="str">
        <x:v>資料記錄 環境偵探 定時取樣、記錄、標註與比較趨勢 hands on project for kids microbit physical computing coding</x:v>
      </x:c>
      <x:c r="Y91" s="38" t="str">
        <x:v>https://www.youtube.com/results?search_query=%E8%B3%87%E6%96%99%E8%A8%98%E9%8C%84+%E7%92%B0%E5%A2%83%E5%81%B5%E6%8E%A2+%E5%AE%9A%E6%99%82%E5%8F%96%E6%A8%A3%E3%80%81%E8%A8%98%E9%8C%84%E3%80%81%E6%A8%99%E8%A8%BB%E8%88%87%E6%AF%94%E8%BC%83%E8%B6%A8%E5%8B%A2+hands+on+project+for+kids+microbit+physical+computing+coding</x:v>
      </x:c>
      <x:c r="Z91" s="38" t="str">
        <x:v>課中實作參考</x:v>
      </x:c>
      <x:c r="AA91" s="38" t="str">
        <x:v>資料記錄 環境偵探 中文 教學 原理 安全 親子 microbit physical computing coding</x:v>
      </x:c>
      <x:c r="AB91" s="38" t="str">
        <x:v>https://www.youtube.com/results?search_query=%E8%B3%87%E6%96%99%E8%A8%98%E9%8C%84+%E7%92%B0%E5%A2%83%E5%81%B5%E6%8E%A2+%E4%B8%AD%E6%96%87+%E6%95%99%E5%AD%B8+%E5%8E%9F%E7%90%86+%E5%AE%89%E5%85%A8+%E8%A6%AA%E5%AD%90+microbit+physical+computing+coding</x:v>
      </x:c>
      <x:c r="AC91" s="38" t="str">
        <x:v>課後延伸／親子討論</x:v>
      </x:c>
    </x:row>
    <x:row r="92" ht="105" customHeight="1">
      <x:c r="A92" s="40" t="n">
        <x:v>91</x:v>
      </x:c>
      <x:c r="B92" s="40" t="str">
        <x:v>第 2 年</x:v>
      </x:c>
      <x:c r="C92" s="40" t="str">
        <x:v>M06 Maker Lab：micro:bit 電子與感測</x:v>
      </x:c>
      <x:c r="D92" s="40" t="n">
        <x:v>11</x:v>
      </x:c>
      <x:c r="E92" s="40" t="str">
        <x:v>從積木切換到 Python</x:v>
      </x:c>
      <x:c r="F92" s="40" t="str">
        <x:v>電子／感測器／無線通訊／實體運算</x:v>
      </x:c>
      <x:c r="G92" s="40" t="str">
        <x:v>比較同一程式的 Blocks 與文字語法</x:v>
      </x:c>
      <x:c r="H92" s="40" t="str">
        <x:v>00–10 任務開場：從積木切換到 Python
10–25 概念示範：比較同一程式的 Blocks 與文字語法
25–65 父子共同實作：把按鈕計數器改寫為 Python，再加一個功能
65–75 休息／走動／聊天
75–105 孩子獨立改造：增加一個自選規則或功能
105–115 角色互換：孩子教爸爸操作與原理
115–120 錄音總結、作品命名、版本存檔</x:v>
      </x:c>
      <x:c r="I92" s="40" t="str">
        <x:v>把按鈕計數器改寫為 Python，再加一個功能</x:v>
      </x:c>
      <x:c r="J92" s="40" t="str">
        <x:v>故障卡</x:v>
      </x:c>
      <x:c r="K92" s="40" t="str">
        <x:v>micro:bit Python 程式</x:v>
      </x:c>
      <x:c r="L92" s="40" t="str">
        <x:v>動手與安全</x:v>
      </x:c>
      <x:c r="M92" s="40" t="str">
        <x:v>檢查 micro:bit、USB、電池與零件；只做低壓安全實驗。</x:v>
      </x:c>
      <x:c r="N92" s="40" t="str">
        <x:v>15–30 分鐘自由改造；寫三句學習日誌：我做了什麼、哪裡卡住、下次想加什麼。</x:v>
      </x:c>
      <x:c r="O92" s="40" t="str">
        <x:v>完成「micro:bit Python 程式」；能不用看稿說出核心原理；能指出至少一個錯誤、限制或安全注意事項。</x:v>
      </x:c>
      <x:c r="P92" s="40" t="str">
        <x:v>R05</x:v>
      </x:c>
      <x:c r="Q92" s="40" t="str">
        <x:v>https://microbit.org/</x:v>
      </x:c>
      <x:c r="R92" s="40" t="str">
        <x:v>請孩子回答：1. 從積木切換到 Python在解決什麼？2. 我怎麼做？3. 哪裡容易錯？4. 生活中哪裡會用到？</x:v>
      </x:c>
      <x:c r="S92" s="40" t="str">
        <x:v>父子科技課 #091｜從積木切換到 Python</x:v>
      </x:c>
      <x:c r="T92" s="40" t="n">
        <x:v>3</x:v>
      </x:c>
      <x:c r="U92" s="38" t="str">
        <x:v>從積木切換到 Python microbit physical computing coding beginner tutorial micro:bit</x:v>
      </x:c>
      <x:c r="V92" s="38" t="str">
        <x:v>https://www.youtube.com/results?search_query=%E5%BE%9E%E7%A9%8D%E6%9C%A8%E5%88%87%E6%8F%9B%E5%88%B0+Python+microbit+physical+computing+coding+beginner+tutorial+micro%3Abit</x:v>
      </x:c>
      <x:c r="W92" s="38" t="str">
        <x:v>課前暖身</x:v>
      </x:c>
      <x:c r="X92" s="38" t="str">
        <x:v>從積木切換到 Python 比較同一程式的 Blocks 與文字語法 hands on project for kids microbit physical computing coding</x:v>
      </x:c>
      <x:c r="Y92" s="38" t="str">
        <x:v>https://www.youtube.com/results?search_query=%E5%BE%9E%E7%A9%8D%E6%9C%A8%E5%88%87%E6%8F%9B%E5%88%B0+Python+%E6%AF%94%E8%BC%83%E5%90%8C%E4%B8%80%E7%A8%8B%E5%BC%8F%E7%9A%84+Blocks+%E8%88%87%E6%96%87%E5%AD%97%E8%AA%9E%E6%B3%95+hands+on+project+for+kids+microbit+physical+computing+coding</x:v>
      </x:c>
      <x:c r="Z92" s="38" t="str">
        <x:v>課中實作參考</x:v>
      </x:c>
      <x:c r="AA92" s="38" t="str">
        <x:v>從積木切換到 Python 中文 教學 原理 安全 親子 microbit physical computing coding</x:v>
      </x:c>
      <x:c r="AB92" s="38" t="str">
        <x:v>https://www.youtube.com/results?search_query=%E5%BE%9E%E7%A9%8D%E6%9C%A8%E5%88%87%E6%8F%9B%E5%88%B0+Python+%E4%B8%AD%E6%96%87+%E6%95%99%E5%AD%B8+%E5%8E%9F%E7%90%86+%E5%AE%89%E5%85%A8+%E8%A6%AA%E5%AD%90+microbit+physical+computing+coding</x:v>
      </x:c>
      <x:c r="AC92" s="38" t="str">
        <x:v>課後延伸／親子討論</x:v>
      </x:c>
    </x:row>
    <x:row r="93" ht="105" customHeight="1">
      <x:c r="A93" s="40" t="n">
        <x:v>92</x:v>
      </x:c>
      <x:c r="B93" s="40" t="str">
        <x:v>第 2 年</x:v>
      </x:c>
      <x:c r="C93" s="40" t="str">
        <x:v>M06 Maker Lab：micro:bit 電子與感測</x:v>
      </x:c>
      <x:c r="D93" s="40" t="n">
        <x:v>12</x:v>
      </x:c>
      <x:c r="E93" s="40" t="str">
        <x:v>狀態機：裝置現在在做什麼</x:v>
      </x:c>
      <x:c r="F93" s="40" t="str">
        <x:v>電子／感測器／無線通訊／實體運算</x:v>
      </x:c>
      <x:c r="G93" s="40" t="str">
        <x:v>以待機、警戒、警報等狀態管理複雜流程</x:v>
      </x:c>
      <x:c r="H93" s="40" t="str">
        <x:v>00–10 任務開場：狀態機：裝置現在在做什麼
10–25 概念示範：以待機、警戒、警報等狀態管理複雜流程
25–65 父子共同實作：設計三狀態門窗警報器並畫轉移圖
65–75 休息／走動／聊天
75–105 孩子獨立改造：增加一個自選規則或功能
105–115 角色互換：孩子教爸爸操作與原理
115–120 錄音總結、作品命名、版本存檔</x:v>
      </x:c>
      <x:c r="I93" s="40" t="str">
        <x:v>設計三狀態門窗警報器並畫轉移圖</x:v>
      </x:c>
      <x:c r="J93" s="40" t="str">
        <x:v>家庭展覽</x:v>
      </x:c>
      <x:c r="K93" s="40" t="str">
        <x:v>狀態機警報器</x:v>
      </x:c>
      <x:c r="L93" s="40" t="str">
        <x:v>問題拆解</x:v>
      </x:c>
      <x:c r="M93" s="40" t="str">
        <x:v>檢查 micro:bit、USB、電池與零件；只做低壓安全實驗。</x:v>
      </x:c>
      <x:c r="N93" s="40" t="str">
        <x:v>15–30 分鐘自由改造；寫三句學習日誌：我做了什麼、哪裡卡住、下次想加什麼。</x:v>
      </x:c>
      <x:c r="O93" s="40" t="str">
        <x:v>完成「狀態機警報器」；能不用看稿說出核心原理；能指出至少一個錯誤、限制或安全注意事項。</x:v>
      </x:c>
      <x:c r="P93" s="40" t="str">
        <x:v>R18</x:v>
      </x:c>
      <x:c r="Q93" s="40" t="str">
        <x:v>https://docs.arduino.cc/</x:v>
      </x:c>
      <x:c r="R93" s="40" t="str">
        <x:v>請孩子回答：1. 狀態機：裝置現在在做什麼在解決什麼？2. 我怎麼做？3. 哪裡容易錯？4. 生活中哪裡會用到？</x:v>
      </x:c>
      <x:c r="S93" s="40" t="str">
        <x:v>父子科技課 #092｜狀態機：裝置現在在做什麼</x:v>
      </x:c>
      <x:c r="T93" s="40" t="n">
        <x:v>3</x:v>
      </x:c>
      <x:c r="U93" s="38" t="str">
        <x:v>狀態機 裝置現在在做什麼 microbit physical computing coding beginner tutorial micro:bit</x:v>
      </x:c>
      <x:c r="V93" s="38" t="str">
        <x:v>https://www.youtube.com/results?search_query=%E7%8B%80%E6%85%8B%E6%A9%9F+%E8%A3%9D%E7%BD%AE%E7%8F%BE%E5%9C%A8%E5%9C%A8%E5%81%9A%E4%BB%80%E9%BA%BC+microbit+physical+computing+coding+beginner+tutorial+micro%3Abit</x:v>
      </x:c>
      <x:c r="W93" s="38" t="str">
        <x:v>課前暖身</x:v>
      </x:c>
      <x:c r="X93" s="38" t="str">
        <x:v>狀態機 裝置現在在做什麼 以待機、警戒、警報等狀態管理複雜流程 hands on project for kids microbit physical computing coding</x:v>
      </x:c>
      <x:c r="Y93" s="38" t="str">
        <x:v>https://www.youtube.com/results?search_query=%E7%8B%80%E6%85%8B%E6%A9%9F+%E8%A3%9D%E7%BD%AE%E7%8F%BE%E5%9C%A8%E5%9C%A8%E5%81%9A%E4%BB%80%E9%BA%BC+%E4%BB%A5%E5%BE%85%E6%A9%9F%E3%80%81%E8%AD%A6%E6%88%92%E3%80%81%E8%AD%A6%E5%A0%B1%E7%AD%89%E7%8B%80%E6%85%8B%E7%AE%A1%E7%90%86%E8%A4%87%E9%9B%9C%E6%B5%81%E7%A8%8B+hands+on+project+for+kids+microbit+physical+computing+coding</x:v>
      </x:c>
      <x:c r="Z93" s="38" t="str">
        <x:v>課中實作參考</x:v>
      </x:c>
      <x:c r="AA93" s="38" t="str">
        <x:v>狀態機 裝置現在在做什麼 中文 教學 原理 安全 親子 microbit physical computing coding</x:v>
      </x:c>
      <x:c r="AB93" s="38" t="str">
        <x:v>https://www.youtube.com/results?search_query=%E7%8B%80%E6%85%8B%E6%A9%9F+%E8%A3%9D%E7%BD%AE%E7%8F%BE%E5%9C%A8%E5%9C%A8%E5%81%9A%E4%BB%80%E9%BA%BC+%E4%B8%AD%E6%96%87+%E6%95%99%E5%AD%B8+%E5%8E%9F%E7%90%86+%E5%AE%89%E5%85%A8+%E8%A6%AA%E5%AD%90+microbit+physical+computing+coding</x:v>
      </x:c>
      <x:c r="AC93" s="38" t="str">
        <x:v>課後延伸／親子討論</x:v>
      </x:c>
    </x:row>
    <x:row r="94" ht="105" customHeight="1">
      <x:c r="A94" s="40" t="n">
        <x:v>93</x:v>
      </x:c>
      <x:c r="B94" s="40" t="str">
        <x:v>第 2 年</x:v>
      </x:c>
      <x:c r="C94" s="40" t="str">
        <x:v>M06 Maker Lab：micro:bit 電子與感測</x:v>
      </x:c>
      <x:c r="D94" s="40" t="n">
        <x:v>13</x:v>
      </x:c>
      <x:c r="E94" s="40" t="str">
        <x:v>可穿戴裝置企劃</x:v>
      </x:c>
      <x:c r="F94" s="40" t="str">
        <x:v>電子／感測器／無線通訊／實體運算</x:v>
      </x:c>
      <x:c r="G94" s="40" t="str">
        <x:v>從使用情境決定感測、回饋、電源與外型</x:v>
      </x:c>
      <x:c r="H94" s="40" t="str">
        <x:v>00–10 任務開場：可穿戴裝置企劃
10–25 概念示範：從使用情境決定感測、回饋、電源與外型
25–65 父子共同實作：選擇情緒徽章、姿勢提醒或步數挑戰器
65–75 休息／走動／聊天
75–105 孩子獨立改造：增加一個自選規則或功能
105–115 角色互換：孩子教爸爸操作與原理
115–120 錄音總結、作品命名、版本存檔</x:v>
      </x:c>
      <x:c r="I94" s="40" t="str">
        <x:v>選擇情緒徽章、姿勢提醒或步數挑戰器</x:v>
      </x:c>
      <x:c r="J94" s="40" t="str">
        <x:v>尋寶</x:v>
      </x:c>
      <x:c r="K94" s="40" t="str">
        <x:v>可穿戴設計圖</x:v>
      </x:c>
      <x:c r="L94" s="40" t="str">
        <x:v>動手與安全</x:v>
      </x:c>
      <x:c r="M94" s="40" t="str">
        <x:v>檢查 micro:bit、USB、電池與零件；只做低壓安全實驗。</x:v>
      </x:c>
      <x:c r="N94" s="40" t="str">
        <x:v>15–30 分鐘自由改造；寫三句學習日誌：我做了什麼、哪裡卡住、下次想加什麼。</x:v>
      </x:c>
      <x:c r="O94" s="40" t="str">
        <x:v>完成「可穿戴設計圖」；能不用看稿說出核心原理；能指出至少一個錯誤、限制或安全注意事項。</x:v>
      </x:c>
      <x:c r="P94" s="40" t="str">
        <x:v>R06</x:v>
      </x:c>
      <x:c r="Q94" s="40" t="str">
        <x:v>https://microbit.org/projects/make-it-code-it/</x:v>
      </x:c>
      <x:c r="R94" s="40" t="str">
        <x:v>請孩子回答：1. 可穿戴裝置企劃在解決什麼？2. 我怎麼做？3. 哪裡容易錯？4. 生活中哪裡會用到？</x:v>
      </x:c>
      <x:c r="S94" s="40" t="str">
        <x:v>父子科技課 #093｜可穿戴裝置企劃</x:v>
      </x:c>
      <x:c r="T94" s="40" t="n">
        <x:v>3</x:v>
      </x:c>
      <x:c r="U94" s="38" t="str">
        <x:v>可穿戴裝置企劃 microbit physical computing coding beginner tutorial micro:bit</x:v>
      </x:c>
      <x:c r="V94" s="38" t="str">
        <x:v>https://www.youtube.com/results?search_query=%E5%8F%AF%E7%A9%BF%E6%88%B4%E8%A3%9D%E7%BD%AE%E4%BC%81%E5%8A%83+microbit+physical+computing+coding+beginner+tutorial+micro%3Abit</x:v>
      </x:c>
      <x:c r="W94" s="38" t="str">
        <x:v>課前暖身</x:v>
      </x:c>
      <x:c r="X94" s="38" t="str">
        <x:v>可穿戴裝置企劃 從使用情境決定感測、回饋、電源與外型 hands on project for kids microbit physical computing coding</x:v>
      </x:c>
      <x:c r="Y94" s="38" t="str">
        <x:v>https://www.youtube.com/results?search_query=%E5%8F%AF%E7%A9%BF%E6%88%B4%E8%A3%9D%E7%BD%AE%E4%BC%81%E5%8A%83+%E5%BE%9E%E4%BD%BF%E7%94%A8%E6%83%85%E5%A2%83%E6%B1%BA%E5%AE%9A%E6%84%9F%E6%B8%AC%E3%80%81%E5%9B%9E%E9%A5%8B%E3%80%81%E9%9B%BB%E6%BA%90%E8%88%87%E5%A4%96%E5%9E%8B+hands+on+project+for+kids+microbit+physical+computing+coding</x:v>
      </x:c>
      <x:c r="Z94" s="38" t="str">
        <x:v>課中實作參考</x:v>
      </x:c>
      <x:c r="AA94" s="38" t="str">
        <x:v>可穿戴裝置企劃 中文 教學 原理 安全 親子 microbit physical computing coding</x:v>
      </x:c>
      <x:c r="AB94" s="38" t="str">
        <x:v>https://www.youtube.com/results?search_query=%E5%8F%AF%E7%A9%BF%E6%88%B4%E8%A3%9D%E7%BD%AE%E4%BC%81%E5%8A%83+%E4%B8%AD%E6%96%87+%E6%95%99%E5%AD%B8+%E5%8E%9F%E7%90%86+%E5%AE%89%E5%85%A8+%E8%A6%AA%E5%AD%90+microbit+physical+computing+coding</x:v>
      </x:c>
      <x:c r="AC94" s="38" t="str">
        <x:v>課後延伸／親子討論</x:v>
      </x:c>
    </x:row>
    <x:row r="95" ht="105" customHeight="1">
      <x:c r="A95" s="40" t="n">
        <x:v>94</x:v>
      </x:c>
      <x:c r="B95" s="40" t="str">
        <x:v>第 2 年</x:v>
      </x:c>
      <x:c r="C95" s="40" t="str">
        <x:v>M06 Maker Lab：micro:bit 電子與感測</x:v>
      </x:c>
      <x:c r="D95" s="40" t="n">
        <x:v>14</x:v>
      </x:c>
      <x:c r="E95" s="40" t="str">
        <x:v>智慧房間原型</x:v>
      </x:c>
      <x:c r="F95" s="40" t="str">
        <x:v>電子／感測器／無線通訊／實體運算</x:v>
      </x:c>
      <x:c r="G95" s="40" t="str">
        <x:v>整合感測、規則與輸出解決生活問題</x:v>
      </x:c>
      <x:c r="H95" s="40" t="str">
        <x:v>00–10 任務開場：智慧房間原型
10–25 概念示範：整合感測、規則與輸出解決生活問題
25–65 父子共同實作：依光線/溫度/按鈕控制提示或馬達
65–75 休息／走動／聊天
75–105 孩子獨立改造：增加一個自選規則或功能
105–115 角色互換：孩子教爸爸操作與原理
115–120 錄音總結、作品命名、版本存檔</x:v>
      </x:c>
      <x:c r="I95" s="40" t="str">
        <x:v>依光線/溫度/按鈕控制提示或馬達</x:v>
      </x:c>
      <x:c r="J95" s="40" t="str">
        <x:v>Maker 挑戰</x:v>
      </x:c>
      <x:c r="K95" s="40" t="str">
        <x:v>智慧房間 Alpha</x:v>
      </x:c>
      <x:c r="L95" s="40" t="str">
        <x:v>動手與安全</x:v>
      </x:c>
      <x:c r="M95" s="40" t="str">
        <x:v>檢查 micro:bit、USB、電池與零件；只做低壓安全實驗。</x:v>
      </x:c>
      <x:c r="N95" s="40" t="str">
        <x:v>15–30 分鐘自由改造；寫三句學習日誌：我做了什麼、哪裡卡住、下次想加什麼。</x:v>
      </x:c>
      <x:c r="O95" s="40" t="str">
        <x:v>完成「智慧房間 Alpha」；能不用看稿說出核心原理；能指出至少一個錯誤、限制或安全注意事項。</x:v>
      </x:c>
      <x:c r="P95" s="40" t="str">
        <x:v>R06</x:v>
      </x:c>
      <x:c r="Q95" s="40" t="str">
        <x:v>https://microbit.org/projects/make-it-code-it/</x:v>
      </x:c>
      <x:c r="R95" s="40" t="str">
        <x:v>請孩子回答：1. 智慧房間原型在解決什麼？2. 我怎麼做？3. 哪裡容易錯？4. 生活中哪裡會用到？</x:v>
      </x:c>
      <x:c r="S95" s="40" t="str">
        <x:v>父子科技課 #094｜智慧房間原型</x:v>
      </x:c>
      <x:c r="T95" s="40" t="n">
        <x:v>3</x:v>
      </x:c>
      <x:c r="U95" s="38" t="str">
        <x:v>智慧房間原型 microbit physical computing coding beginner tutorial micro:bit</x:v>
      </x:c>
      <x:c r="V95" s="38" t="str">
        <x:v>https://www.youtube.com/results?search_query=%E6%99%BA%E6%85%A7%E6%88%BF%E9%96%93%E5%8E%9F%E5%9E%8B+microbit+physical+computing+coding+beginner+tutorial+micro%3Abit</x:v>
      </x:c>
      <x:c r="W95" s="38" t="str">
        <x:v>課前暖身</x:v>
      </x:c>
      <x:c r="X95" s="38" t="str">
        <x:v>智慧房間原型 整合感測、規則與輸出解決生活問題 hands on project for kids microbit physical computing coding</x:v>
      </x:c>
      <x:c r="Y95" s="38" t="str">
        <x:v>https://www.youtube.com/results?search_query=%E6%99%BA%E6%85%A7%E6%88%BF%E9%96%93%E5%8E%9F%E5%9E%8B+%E6%95%B4%E5%90%88%E6%84%9F%E6%B8%AC%E3%80%81%E8%A6%8F%E5%89%87%E8%88%87%E8%BC%B8%E5%87%BA%E8%A7%A3%E6%B1%BA%E7%94%9F%E6%B4%BB%E5%95%8F%E9%A1%8C+hands+on+project+for+kids+microbit+physical+computing+coding</x:v>
      </x:c>
      <x:c r="Z95" s="38" t="str">
        <x:v>課中實作參考</x:v>
      </x:c>
      <x:c r="AA95" s="38" t="str">
        <x:v>智慧房間原型 中文 教學 原理 安全 親子 microbit physical computing coding</x:v>
      </x:c>
      <x:c r="AB95" s="38" t="str">
        <x:v>https://www.youtube.com/results?search_query=%E6%99%BA%E6%85%A7%E6%88%BF%E9%96%93%E5%8E%9F%E5%9E%8B+%E4%B8%AD%E6%96%87+%E6%95%99%E5%AD%B8+%E5%8E%9F%E7%90%86+%E5%AE%89%E5%85%A8+%E8%A6%AA%E5%AD%90+microbit+physical+computing+coding</x:v>
      </x:c>
      <x:c r="AC95" s="38" t="str">
        <x:v>課後延伸／親子討論</x:v>
      </x:c>
    </x:row>
    <x:row r="96" ht="105" customHeight="1">
      <x:c r="A96" s="40" t="n">
        <x:v>95</x:v>
      </x:c>
      <x:c r="B96" s="40" t="str">
        <x:v>第 2 年</x:v>
      </x:c>
      <x:c r="C96" s="40" t="str">
        <x:v>M06 Maker Lab：micro:bit 電子與感測</x:v>
      </x:c>
      <x:c r="D96" s="40" t="n">
        <x:v>15</x:v>
      </x:c>
      <x:c r="E96" s="40" t="str">
        <x:v>壓力測試與故障排除</x:v>
      </x:c>
      <x:c r="F96" s="40" t="str">
        <x:v>電子／感測器／無線通訊／實體運算</x:v>
      </x:c>
      <x:c r="G96" s="40" t="str">
        <x:v>測試低電量、斷線、錯誤輸入與誤觸發</x:v>
      </x:c>
      <x:c r="H96" s="40" t="str">
        <x:v>00–10 任務開場：壓力測試與故障排除
10–25 概念示範：測試低電量、斷線、錯誤輸入與誤觸發
25–65 父子共同實作：爸爸扮演『破壞王』，孩子依檢查表找問題
65–75 休息／走動／聊天
75–105 孩子獨立改造：增加一個自選規則或功能
105–115 角色互換：孩子教爸爸操作與原理
115–120 錄音總結、作品命名、版本存檔</x:v>
      </x:c>
      <x:c r="I96" s="40" t="str">
        <x:v>爸爸扮演『破壞王』，孩子依檢查表找問題</x:v>
      </x:c>
      <x:c r="J96" s="40" t="str">
        <x:v>故障卡</x:v>
      </x:c>
      <x:c r="K96" s="40" t="str">
        <x:v>測試報告＋Beta</x:v>
      </x:c>
      <x:c r="L96" s="40" t="str">
        <x:v>問題拆解</x:v>
      </x:c>
      <x:c r="M96" s="40" t="str">
        <x:v>檢查 micro:bit、USB、電池與零件；只做低壓安全實驗。</x:v>
      </x:c>
      <x:c r="N96" s="40" t="str">
        <x:v>15–30 分鐘自由改造；寫三句學習日誌：我做了什麼、哪裡卡住、下次想加什麼。</x:v>
      </x:c>
      <x:c r="O96" s="40" t="str">
        <x:v>完成「測試報告＋Beta」；能不用看稿說出核心原理；能指出至少一個錯誤、限制或安全注意事項。</x:v>
      </x:c>
      <x:c r="P96" s="40" t="str">
        <x:v>R18</x:v>
      </x:c>
      <x:c r="Q96" s="40" t="str">
        <x:v>https://docs.arduino.cc/</x:v>
      </x:c>
      <x:c r="R96" s="40" t="str">
        <x:v>請孩子回答：1. 壓力測試與故障排除在解決什麼？2. 我怎麼做？3. 哪裡容易錯？4. 生活中哪裡會用到？</x:v>
      </x:c>
      <x:c r="S96" s="40" t="str">
        <x:v>父子科技課 #095｜壓力測試與故障排除</x:v>
      </x:c>
      <x:c r="T96" s="40" t="n">
        <x:v>3</x:v>
      </x:c>
      <x:c r="U96" s="38" t="str">
        <x:v>壓力測試與故障排除 microbit physical computing coding beginner tutorial micro:bit</x:v>
      </x:c>
      <x:c r="V96" s="38" t="str">
        <x:v>https://www.youtube.com/results?search_query=%E5%A3%93%E5%8A%9B%E6%B8%AC%E8%A9%A6%E8%88%87%E6%95%85%E9%9A%9C%E6%8E%92%E9%99%A4+microbit+physical+computing+coding+beginner+tutorial+micro%3Abit</x:v>
      </x:c>
      <x:c r="W96" s="38" t="str">
        <x:v>課前暖身</x:v>
      </x:c>
      <x:c r="X96" s="38" t="str">
        <x:v>壓力測試與故障排除 測試低電量、斷線、錯誤輸入與誤觸發 hands on project for kids microbit physical computing coding</x:v>
      </x:c>
      <x:c r="Y96" s="38" t="str">
        <x:v>https://www.youtube.com/results?search_query=%E5%A3%93%E5%8A%9B%E6%B8%AC%E8%A9%A6%E8%88%87%E6%95%85%E9%9A%9C%E6%8E%92%E9%99%A4+%E6%B8%AC%E8%A9%A6%E4%BD%8E%E9%9B%BB%E9%87%8F%E3%80%81%E6%96%B7%E7%B7%9A%E3%80%81%E9%8C%AF%E8%AA%A4%E8%BC%B8%E5%85%A5%E8%88%87%E8%AA%A4%E8%A7%B8%E7%99%BC+hands+on+project+for+kids+microbit+physical+computing+coding</x:v>
      </x:c>
      <x:c r="Z96" s="38" t="str">
        <x:v>課中實作參考</x:v>
      </x:c>
      <x:c r="AA96" s="38" t="str">
        <x:v>壓力測試與故障排除 中文 教學 原理 安全 親子 microbit physical computing coding</x:v>
      </x:c>
      <x:c r="AB96" s="38" t="str">
        <x:v>https://www.youtube.com/results?search_query=%E5%A3%93%E5%8A%9B%E6%B8%AC%E8%A9%A6%E8%88%87%E6%95%85%E9%9A%9C%E6%8E%92%E9%99%A4+%E4%B8%AD%E6%96%87+%E6%95%99%E5%AD%B8+%E5%8E%9F%E7%90%86+%E5%AE%89%E5%85%A8+%E8%A6%AA%E5%AD%90+microbit+physical+computing+coding</x:v>
      </x:c>
      <x:c r="AC96" s="38" t="str">
        <x:v>課後延伸／親子討論</x:v>
      </x:c>
    </x:row>
    <x:row r="97" ht="105" customHeight="1">
      <x:c r="A97" s="40" t="n">
        <x:v>96</x:v>
      </x:c>
      <x:c r="B97" s="40" t="str">
        <x:v>第 2 年</x:v>
      </x:c>
      <x:c r="C97" s="40" t="str">
        <x:v>M06 Maker Lab：micro:bit 電子與感測</x:v>
      </x:c>
      <x:c r="D97" s="40" t="n">
        <x:v>16</x:v>
      </x:c>
      <x:c r="E97" s="40" t="str">
        <x:v>家庭 Maker Faire</x:v>
      </x:c>
      <x:c r="F97" s="40" t="str">
        <x:v>電子／感測器／無線通訊／實體運算</x:v>
      </x:c>
      <x:c r="G97" s="40" t="str">
        <x:v>展示設計、電路、程式、測試與改進</x:v>
      </x:c>
      <x:c r="H97" s="40" t="str">
        <x:v>00–10 任務開場：家庭 Maker Faire
10–25 概念示範：展示設計、電路、程式、測試與改進
25–65 父子共同實作：設攤讓家人操作並由孩子解說感測—判斷—動作
65–75 休息／走動／聊天
75–105 孩子獨立改造：增加一個自選規則或功能
105–115 角色互換：孩子教爸爸操作與原理
115–120 錄音總結、作品命名、版本存檔</x:v>
      </x:c>
      <x:c r="I97" s="40" t="str">
        <x:v>設攤讓家人操作並由孩子解說感測—判斷—動作</x:v>
      </x:c>
      <x:c r="J97" s="40" t="str">
        <x:v>家庭展覽</x:v>
      </x:c>
      <x:c r="K97" s="40" t="str">
        <x:v>原型正式版＋展示影片</x:v>
      </x:c>
      <x:c r="L97" s="40" t="str">
        <x:v>合作與回饋</x:v>
      </x:c>
      <x:c r="M97" s="40" t="str">
        <x:v>檢查 micro:bit、USB、電池與零件；只做低壓安全實驗。</x:v>
      </x:c>
      <x:c r="N97" s="40" t="str">
        <x:v>15–30 分鐘自由改造；寫三句學習日誌：我做了什麼、哪裡卡住、下次想加什麼。</x:v>
      </x:c>
      <x:c r="O97" s="40" t="str">
        <x:v>完成「原型正式版＋展示影片」；能不用看稿說出核心原理；能指出至少一個錯誤、限制或安全注意事項。</x:v>
      </x:c>
      <x:c r="P97" s="40" t="str">
        <x:v>R06</x:v>
      </x:c>
      <x:c r="Q97" s="40" t="str">
        <x:v>https://microbit.org/projects/make-it-code-it/</x:v>
      </x:c>
      <x:c r="R97" s="40" t="str">
        <x:v>請孩子回答：1. 家庭 Maker Faire在解決什麼？2. 我怎麼做？3. 哪裡容易錯？4. 生活中哪裡會用到？</x:v>
      </x:c>
      <x:c r="S97" s="40" t="str">
        <x:v>父子科技課 #096｜家庭 Maker Faire</x:v>
      </x:c>
      <x:c r="T97" s="40" t="n">
        <x:v>3</x:v>
      </x:c>
      <x:c r="U97" s="38" t="str">
        <x:v>家庭 Maker Faire microbit physical computing coding beginner tutorial micro:bit</x:v>
      </x:c>
      <x:c r="V97" s="38" t="str">
        <x:v>https://www.youtube.com/results?search_query=%E5%AE%B6%E5%BA%AD+Maker+Faire+microbit+physical+computing+coding+beginner+tutorial+micro%3Abit</x:v>
      </x:c>
      <x:c r="W97" s="38" t="str">
        <x:v>課前暖身</x:v>
      </x:c>
      <x:c r="X97" s="38" t="str">
        <x:v>家庭 Maker Faire 展示設計、電路、程式、測試與改進 hands on project for kids microbit physical computing coding</x:v>
      </x:c>
      <x:c r="Y97" s="38" t="str">
        <x:v>https://www.youtube.com/results?search_query=%E5%AE%B6%E5%BA%AD+Maker+Faire+%E5%B1%95%E7%A4%BA%E8%A8%AD%E8%A8%88%E3%80%81%E9%9B%BB%E8%B7%AF%E3%80%81%E7%A8%8B%E5%BC%8F%E3%80%81%E6%B8%AC%E8%A9%A6%E8%88%87%E6%94%B9%E9%80%B2+hands+on+project+for+kids+microbit+physical+computing+coding</x:v>
      </x:c>
      <x:c r="Z97" s="38" t="str">
        <x:v>課中實作參考</x:v>
      </x:c>
      <x:c r="AA97" s="38" t="str">
        <x:v>家庭 Maker Faire 中文 教學 原理 安全 親子 microbit physical computing coding</x:v>
      </x:c>
      <x:c r="AB97" s="38" t="str">
        <x:v>https://www.youtube.com/results?search_query=%E5%AE%B6%E5%BA%AD+Maker+Faire+%E4%B8%AD%E6%96%87+%E6%95%99%E5%AD%B8+%E5%8E%9F%E7%90%86+%E5%AE%89%E5%85%A8+%E8%A6%AA%E5%AD%90+microbit+physical+computing+coding</x:v>
      </x:c>
      <x:c r="AC97" s="38" t="str">
        <x:v>課後延伸／親子討論</x:v>
      </x:c>
    </x:row>
    <x:row r="98" ht="105" customHeight="1">
      <x:c r="A98" s="40" t="n">
        <x:v>97</x:v>
      </x:c>
      <x:c r="B98" s="40" t="str">
        <x:v>第 3 年</x:v>
      </x:c>
      <x:c r="C98" s="40" t="str">
        <x:v>M07 Python 進階、Git 與軟體工程</x:v>
      </x:c>
      <x:c r="D98" s="40" t="n">
        <x:v>1</x:v>
      </x:c>
      <x:c r="E98" s="40" t="str">
        <x:v>Terminal 不可怕：檔案系統指令</x:v>
      </x:c>
      <x:c r="F98" s="40" t="str">
        <x:v>CLI／Git／GitHub／測試／軟體設計</x:v>
      </x:c>
      <x:c r="G98" s="40" t="str">
        <x:v>使用 pwd、ls、cd、mkdir、cp、mv、rm 並理解目前位置</x:v>
      </x:c>
      <x:c r="H98" s="40" t="str">
        <x:v>00–10 任務開場：Terminal 不可怕：檔案系統指令
10–25 概念示範：使用 pwd、ls、cd、mkdir、cp、mv、rm 並理解目前位置
25–65 父子共同實作：在沙盒資料夾完成命令列尋寶，禁止使用 Finder
65–75 休息／走動／聊天
75–105 孩子獨立改造：增加一個自選規則或功能
105–115 角色互換：孩子教爸爸操作與原理
115–120 錄音總結、作品命名、版本存檔</x:v>
      </x:c>
      <x:c r="I98" s="40" t="str">
        <x:v>在沙盒資料夾完成命令列尋寶，禁止使用 Finder</x:v>
      </x:c>
      <x:c r="J98" s="40" t="str">
        <x:v>時間機器</x:v>
      </x:c>
      <x:c r="K98" s="40" t="str">
        <x:v>CLI 操作紀錄</x:v>
      </x:c>
      <x:c r="L98" s="40" t="str">
        <x:v>自主管理</x:v>
      </x:c>
      <x:c r="M98" s="40" t="str">
        <x:v>確認 Git、GitHub、Terminal；使用練習 repo，避免操作重要檔案。</x:v>
      </x:c>
      <x:c r="N98" s="40" t="str">
        <x:v>15–30 分鐘自由改造；寫三句學習日誌：我做了什麼、哪裡卡住、下次想加什麼。</x:v>
      </x:c>
      <x:c r="O98" s="40" t="str">
        <x:v>完成「CLI 操作紀錄」；能不用看稿說出核心原理；能指出至少一個錯誤、限制或安全注意事項。</x:v>
      </x:c>
      <x:c r="P98" s="40" t="str">
        <x:v>R14</x:v>
      </x:c>
      <x:c r="Q98" s="40" t="str">
        <x:v>https://skills.github.com/</x:v>
      </x:c>
      <x:c r="R98" s="40" t="str">
        <x:v>請孩子回答：1. Terminal 不可怕：檔案系統指令在解決什麼？2. 我怎麼做？3. 哪裡容易錯？4. 生活中哪裡會用到？</x:v>
      </x:c>
      <x:c r="S98" s="40" t="str">
        <x:v>父子科技課 #097｜Terminal 不可怕：檔案系統指令</x:v>
      </x:c>
      <x:c r="T98" s="40" t="n">
        <x:v>3</x:v>
      </x:c>
      <x:c r="U98" s="38" t="str">
        <x:v>Terminal 不可怕 檔案系統指令 Git GitHub software engineering testing beginner tutorial GitHub</x:v>
      </x:c>
      <x:c r="V98" s="38" t="str">
        <x:v>https://www.youtube.com/results?search_query=Terminal+%E4%B8%8D%E5%8F%AF%E6%80%95+%E6%AA%94%E6%A1%88%E7%B3%BB%E7%B5%B1%E6%8C%87%E4%BB%A4+Git+GitHub+software+engineering+testing+beginner+tutorial+GitHub</x:v>
      </x:c>
      <x:c r="W98" s="38" t="str">
        <x:v>課前暖身</x:v>
      </x:c>
      <x:c r="X98" s="38" t="str">
        <x:v>Terminal 不可怕 檔案系統指令 使用 pwd、ls、cd、mkdir、cp、mv、rm 並理解目前位置 hands on project for kids Git GitHub software</x:v>
      </x:c>
      <x:c r="Y98" s="38" t="str">
        <x:v>https://www.youtube.com/results?search_query=Terminal+%E4%B8%8D%E5%8F%AF%E6%80%95+%E6%AA%94%E6%A1%88%E7%B3%BB%E7%B5%B1%E6%8C%87%E4%BB%A4+%E4%BD%BF%E7%94%A8+pwd%E3%80%81ls%E3%80%81cd%E3%80%81mkdir%E3%80%81cp%E3%80%81mv%E3%80%81rm+%E4%B8%A6%E7%90%86%E8%A7%A3%E7%9B%AE%E5%89%8D%E4%BD%8D%E7%BD%AE+hands+on+project+for+kids+Git+GitHub+software+engineering+testing</x:v>
      </x:c>
      <x:c r="Z98" s="38" t="str">
        <x:v>課中實作參考</x:v>
      </x:c>
      <x:c r="AA98" s="38" t="str">
        <x:v>Terminal 不可怕 檔案系統指令 中文 教學 原理 安全 親子 Git GitHub software engineering testing</x:v>
      </x:c>
      <x:c r="AB98" s="38" t="str">
        <x:v>https://www.youtube.com/results?search_query=Terminal+%E4%B8%8D%E5%8F%AF%E6%80%95+%E6%AA%94%E6%A1%88%E7%B3%BB%E7%B5%B1%E6%8C%87%E4%BB%A4+%E4%B8%AD%E6%96%87+%E6%95%99%E5%AD%B8+%E5%8E%9F%E7%90%86+%E5%AE%89%E5%85%A8+%E8%A6%AA%E5%AD%90+Git+GitHub+software+engineering+testing</x:v>
      </x:c>
      <x:c r="AC98" s="38" t="str">
        <x:v>課後延伸／親子討論</x:v>
      </x:c>
    </x:row>
    <x:row r="99" ht="105" customHeight="1">
      <x:c r="A99" s="40" t="n">
        <x:v>98</x:v>
      </x:c>
      <x:c r="B99" s="40" t="str">
        <x:v>第 3 年</x:v>
      </x:c>
      <x:c r="C99" s="40" t="str">
        <x:v>M07 Python 進階、Git 與軟體工程</x:v>
      </x:c>
      <x:c r="D99" s="40" t="n">
        <x:v>2</x:v>
      </x:c>
      <x:c r="E99" s="40" t="str">
        <x:v>Git 的時間機器模型</x:v>
      </x:c>
      <x:c r="F99" s="40" t="str">
        <x:v>CLI／Git／GitHub／測試／軟體設計</x:v>
      </x:c>
      <x:c r="G99" s="40" t="str">
        <x:v>理解 working tree、staging、commit 與歷史</x:v>
      </x:c>
      <x:c r="H99" s="40" t="str">
        <x:v>00–10 任務開場：Git 的時間機器模型
10–25 概念示範：理解 working tree、staging、commit 與歷史
25–65 父子共同實作：用紙卡演出三個版本，再在 repo 重做一次
65–75 休息／走動／聊天
75–105 孩子獨立改造：增加一個自選規則或功能
105–115 角色互換：孩子教爸爸操作與原理
115–120 錄音總結、作品命名、版本存檔</x:v>
      </x:c>
      <x:c r="I99" s="40" t="str">
        <x:v>用紙卡演出三個版本，再在 repo 重做一次</x:v>
      </x:c>
      <x:c r="J99" s="40" t="str">
        <x:v>Reviewer 對決</x:v>
      </x:c>
      <x:c r="K99" s="40" t="str">
        <x:v>第一個本機 Git repo</x:v>
      </x:c>
      <x:c r="L99" s="40" t="str">
        <x:v>工程紀律</x:v>
      </x:c>
      <x:c r="M99" s="40" t="str">
        <x:v>確認 Git、GitHub、Terminal；使用練習 repo，避免操作重要檔案。</x:v>
      </x:c>
      <x:c r="N99" s="40" t="str">
        <x:v>15–30 分鐘自由改造；寫三句學習日誌：我做了什麼、哪裡卡住、下次想加什麼。</x:v>
      </x:c>
      <x:c r="O99" s="40" t="str">
        <x:v>完成「第一個本機 Git repo」；能不用看稿說出核心原理；能指出至少一個錯誤、限制或安全注意事項。</x:v>
      </x:c>
      <x:c r="P99" s="40" t="str">
        <x:v>R15</x:v>
      </x:c>
      <x:c r="Q99" s="40" t="str">
        <x:v>https://docs.github.com/en/get-started/start-your-journey/hello-world</x:v>
      </x:c>
      <x:c r="R99" s="40" t="str">
        <x:v>請孩子回答：1. Git 的時間機器模型在解決什麼？2. 我怎麼做？3. 哪裡容易錯？4. 生活中哪裡會用到？</x:v>
      </x:c>
      <x:c r="S99" s="40" t="str">
        <x:v>父子科技課 #098｜Git 的時間機器模型</x:v>
      </x:c>
      <x:c r="T99" s="40" t="n">
        <x:v>3</x:v>
      </x:c>
      <x:c r="U99" s="38" t="str">
        <x:v>Git 的時間機器模型 Git GitHub software engineering testing beginner tutorial GitHub</x:v>
      </x:c>
      <x:c r="V99" s="38" t="str">
        <x:v>https://www.youtube.com/results?search_query=Git+%E7%9A%84%E6%99%82%E9%96%93%E6%A9%9F%E5%99%A8%E6%A8%A1%E5%9E%8B+Git+GitHub+software+engineering+testing+beginner+tutorial+GitHub</x:v>
      </x:c>
      <x:c r="W99" s="38" t="str">
        <x:v>課前暖身</x:v>
      </x:c>
      <x:c r="X99" s="38" t="str">
        <x:v>Git 的時間機器模型 理解 working tree、staging、commit 與歷史 hands on project for kids Git GitHub software</x:v>
      </x:c>
      <x:c r="Y99" s="38" t="str">
        <x:v>https://www.youtube.com/results?search_query=Git+%E7%9A%84%E6%99%82%E9%96%93%E6%A9%9F%E5%99%A8%E6%A8%A1%E5%9E%8B+%E7%90%86%E8%A7%A3+working+tree%E3%80%81staging%E3%80%81commit+%E8%88%87%E6%AD%B7%E5%8F%B2+hands+on+project+for+kids+Git+GitHub+software+engineering+testing</x:v>
      </x:c>
      <x:c r="Z99" s="38" t="str">
        <x:v>課中實作參考</x:v>
      </x:c>
      <x:c r="AA99" s="38" t="str">
        <x:v>Git 的時間機器模型 中文 教學 原理 安全 親子 Git GitHub software engineering testing</x:v>
      </x:c>
      <x:c r="AB99" s="38" t="str">
        <x:v>https://www.youtube.com/results?search_query=Git+%E7%9A%84%E6%99%82%E9%96%93%E6%A9%9F%E5%99%A8%E6%A8%A1%E5%9E%8B+%E4%B8%AD%E6%96%87+%E6%95%99%E5%AD%B8+%E5%8E%9F%E7%90%86+%E5%AE%89%E5%85%A8+%E8%A6%AA%E5%AD%90+Git+GitHub+software+engineering+testing</x:v>
      </x:c>
      <x:c r="AC99" s="38" t="str">
        <x:v>課後延伸／親子討論</x:v>
      </x:c>
    </x:row>
    <x:row r="100" ht="105" customHeight="1">
      <x:c r="A100" s="40" t="n">
        <x:v>99</x:v>
      </x:c>
      <x:c r="B100" s="40" t="str">
        <x:v>第 3 年</x:v>
      </x:c>
      <x:c r="C100" s="40" t="str">
        <x:v>M07 Python 進階、Git 與軟體工程</x:v>
      </x:c>
      <x:c r="D100" s="40" t="n">
        <x:v>3</x:v>
      </x:c>
      <x:c r="E100" s="40" t="str">
        <x:v>GitHub Repository 與 README</x:v>
      </x:c>
      <x:c r="F100" s="40" t="str">
        <x:v>CLI／Git／GitHub／測試／軟體設計</x:v>
      </x:c>
      <x:c r="G100" s="40" t="str">
        <x:v>建立遠端專案、描述目的、安裝與使用方法</x:v>
      </x:c>
      <x:c r="H100" s="40" t="str">
        <x:v>00–10 任務開場：GitHub Repository 與 README
10–25 概念示範：建立遠端專案、描述目的、安裝與使用方法
25–65 父子共同實作：把 Python RPG 搬入 GitHub 並整理首頁
65–75 休息／走動／聊天
75–105 孩子獨立改造：增加一個自選規則或功能
105–115 角色互換：孩子教爸爸操作與原理
115–120 錄音總結、作品命名、版本存檔</x:v>
      </x:c>
      <x:c r="I100" s="40" t="str">
        <x:v>把 Python RPG 搬入 GitHub 並整理首頁</x:v>
      </x:c>
      <x:c r="J100" s="40" t="str">
        <x:v>效能競賽</x:v>
      </x:c>
      <x:c r="K100" s="40" t="str">
        <x:v>公開或私人作品 repo</x:v>
      </x:c>
      <x:c r="L100" s="40" t="str">
        <x:v>工程紀律</x:v>
      </x:c>
      <x:c r="M100" s="40" t="str">
        <x:v>確認 Git、GitHub、Terminal；使用練習 repo，避免操作重要檔案。</x:v>
      </x:c>
      <x:c r="N100" s="40" t="str">
        <x:v>15–30 分鐘自由改造；寫三句學習日誌：我做了什麼、哪裡卡住、下次想加什麼。</x:v>
      </x:c>
      <x:c r="O100" s="40" t="str">
        <x:v>完成「公開或私人作品 repo」；能不用看稿說出核心原理；能指出至少一個錯誤、限制或安全注意事項。</x:v>
      </x:c>
      <x:c r="P100" s="40" t="str">
        <x:v>R15</x:v>
      </x:c>
      <x:c r="Q100" s="40" t="str">
        <x:v>https://docs.github.com/en/get-started/start-your-journey/hello-world</x:v>
      </x:c>
      <x:c r="R100" s="40" t="str">
        <x:v>請孩子回答：1. GitHub Repository 與 README在解決什麼？2. 我怎麼做？3. 哪裡容易錯？4. 生活中哪裡會用到？</x:v>
      </x:c>
      <x:c r="S100" s="40" t="str">
        <x:v>父子科技課 #099｜GitHub Repository 與 README</x:v>
      </x:c>
      <x:c r="T100" s="40" t="n">
        <x:v>3</x:v>
      </x:c>
      <x:c r="U100" s="38" t="str">
        <x:v>GitHub Repository 與 README Git GitHub software engineering testing beginner tutorial GitHub</x:v>
      </x:c>
      <x:c r="V100" s="38" t="str">
        <x:v>https://www.youtube.com/results?search_query=GitHub+Repository+%E8%88%87+README+Git+GitHub+software+engineering+testing+beginner+tutorial+GitHub</x:v>
      </x:c>
      <x:c r="W100" s="38" t="str">
        <x:v>課前暖身</x:v>
      </x:c>
      <x:c r="X100" s="38" t="str">
        <x:v>GitHub Repository 與 README 建立遠端專案、描述目的、安裝與使用方法 hands on project for kids Git GitHub software engineering</x:v>
      </x:c>
      <x:c r="Y100" s="38" t="str">
        <x:v>https://www.youtube.com/results?search_query=GitHub+Repository+%E8%88%87+README+%E5%BB%BA%E7%AB%8B%E9%81%A0%E7%AB%AF%E5%B0%88%E6%A1%88%E3%80%81%E6%8F%8F%E8%BF%B0%E7%9B%AE%E7%9A%84%E3%80%81%E5%AE%89%E8%A3%9D%E8%88%87%E4%BD%BF%E7%94%A8%E6%96%B9%E6%B3%95+hands+on+project+for+kids+Git+GitHub+software+engineering+testing</x:v>
      </x:c>
      <x:c r="Z100" s="38" t="str">
        <x:v>課中實作參考</x:v>
      </x:c>
      <x:c r="AA100" s="38" t="str">
        <x:v>GitHub Repository 與 README 中文 教學 原理 安全 親子 Git GitHub software engineering testing</x:v>
      </x:c>
      <x:c r="AB100" s="38" t="str">
        <x:v>https://www.youtube.com/results?search_query=GitHub+Repository+%E8%88%87+README+%E4%B8%AD%E6%96%87+%E6%95%99%E5%AD%B8+%E5%8E%9F%E7%90%86+%E5%AE%89%E5%85%A8+%E8%A6%AA%E5%AD%90+Git+GitHub+software+engineering+testing</x:v>
      </x:c>
      <x:c r="AC100" s="38" t="str">
        <x:v>課後延伸／親子討論</x:v>
      </x:c>
    </x:row>
    <x:row r="101" ht="105" customHeight="1">
      <x:c r="A101" s="40" t="n">
        <x:v>100</x:v>
      </x:c>
      <x:c r="B101" s="40" t="str">
        <x:v>第 3 年</x:v>
      </x:c>
      <x:c r="C101" s="40" t="str">
        <x:v>M07 Python 進階、Git 與軟體工程</x:v>
      </x:c>
      <x:c r="D101" s="40" t="n">
        <x:v>4</x:v>
      </x:c>
      <x:c r="E101" s="40" t="str">
        <x:v>Commit：一次只說清楚一件事</x:v>
      </x:c>
      <x:c r="F101" s="40" t="str">
        <x:v>CLI／Git／GitHub／測試／軟體設計</x:v>
      </x:c>
      <x:c r="G101" s="40" t="str">
        <x:v>練習小步提交、訊息與可回復變更</x:v>
      </x:c>
      <x:c r="H101" s="40" t="str">
        <x:v>00–10 任務開場：Commit：一次只說清楚一件事
10–25 概念示範：練習小步提交、訊息與可回復變更
25–65 父子共同實作：把三個功能拆成三個 commit，逐一查看 diff
65–75 休息／走動／聊天
75–105 孩子獨立改造：增加一個自選規則或功能
105–115 角色互換：孩子教爸爸操作與原理
115–120 錄音總結、作品命名、版本存檔</x:v>
      </x:c>
      <x:c r="I101" s="40" t="str">
        <x:v>把三個功能拆成三個 commit，逐一查看 diff</x:v>
      </x:c>
      <x:c r="J101" s="40" t="str">
        <x:v>Release 任務</x:v>
      </x:c>
      <x:c r="K101" s="40" t="str">
        <x:v>乾淨 commit 歷史</x:v>
      </x:c>
      <x:c r="L101" s="40" t="str">
        <x:v>工程紀律</x:v>
      </x:c>
      <x:c r="M101" s="40" t="str">
        <x:v>確認 Git、GitHub、Terminal；使用練習 repo，避免操作重要檔案。</x:v>
      </x:c>
      <x:c r="N101" s="40" t="str">
        <x:v>15–30 分鐘自由改造；寫三句學習日誌：我做了什麼、哪裡卡住、下次想加什麼。</x:v>
      </x:c>
      <x:c r="O101" s="40" t="str">
        <x:v>完成「乾淨 commit 歷史」；能不用看稿說出核心原理；能指出至少一個錯誤、限制或安全注意事項。</x:v>
      </x:c>
      <x:c r="P101" s="40" t="str">
        <x:v>R14</x:v>
      </x:c>
      <x:c r="Q101" s="40" t="str">
        <x:v>https://skills.github.com/</x:v>
      </x:c>
      <x:c r="R101" s="40" t="str">
        <x:v>請孩子回答：1. Commit：一次只說清楚一件事在解決什麼？2. 我怎麼做？3. 哪裡容易錯？4. 生活中哪裡會用到？</x:v>
      </x:c>
      <x:c r="S101" s="40" t="str">
        <x:v>父子科技課 #100｜Commit：一次只說清楚一件事</x:v>
      </x:c>
      <x:c r="T101" s="40" t="n">
        <x:v>3</x:v>
      </x:c>
      <x:c r="U101" s="38" t="str">
        <x:v>Commit 一次只說清楚一件事 Git GitHub software engineering testing beginner tutorial GitHub</x:v>
      </x:c>
      <x:c r="V101" s="38" t="str">
        <x:v>https://www.youtube.com/results?search_query=Commit+%E4%B8%80%E6%AC%A1%E5%8F%AA%E8%AA%AA%E6%B8%85%E6%A5%9A%E4%B8%80%E4%BB%B6%E4%BA%8B+Git+GitHub+software+engineering+testing+beginner+tutorial+GitHub</x:v>
      </x:c>
      <x:c r="W101" s="38" t="str">
        <x:v>課前暖身</x:v>
      </x:c>
      <x:c r="X101" s="38" t="str">
        <x:v>Commit 一次只說清楚一件事 練習小步提交、訊息與可回復變更 hands on project for kids Git GitHub software engineering testing</x:v>
      </x:c>
      <x:c r="Y101" s="38" t="str">
        <x:v>https://www.youtube.com/results?search_query=Commit+%E4%B8%80%E6%AC%A1%E5%8F%AA%E8%AA%AA%E6%B8%85%E6%A5%9A%E4%B8%80%E4%BB%B6%E4%BA%8B+%E7%B7%B4%E7%BF%92%E5%B0%8F%E6%AD%A5%E6%8F%90%E4%BA%A4%E3%80%81%E8%A8%8A%E6%81%AF%E8%88%87%E5%8F%AF%E5%9B%9E%E5%BE%A9%E8%AE%8A%E6%9B%B4+hands+on+project+for+kids+Git+GitHub+software+engineering+testing</x:v>
      </x:c>
      <x:c r="Z101" s="38" t="str">
        <x:v>課中實作參考</x:v>
      </x:c>
      <x:c r="AA101" s="38" t="str">
        <x:v>Commit 一次只說清楚一件事 中文 教學 原理 安全 親子 Git GitHub software engineering testing</x:v>
      </x:c>
      <x:c r="AB101" s="38" t="str">
        <x:v>https://www.youtube.com/results?search_query=Commit+%E4%B8%80%E6%AC%A1%E5%8F%AA%E8%AA%AA%E6%B8%85%E6%A5%9A%E4%B8%80%E4%BB%B6%E4%BA%8B+%E4%B8%AD%E6%96%87+%E6%95%99%E5%AD%B8+%E5%8E%9F%E7%90%86+%E5%AE%89%E5%85%A8+%E8%A6%AA%E5%AD%90+Git+GitHub+software+engineering+testing</x:v>
      </x:c>
      <x:c r="AC101" s="38" t="str">
        <x:v>課後延伸／親子討論</x:v>
      </x:c>
    </x:row>
    <x:row r="102" ht="105" customHeight="1">
      <x:c r="A102" s="40" t="n">
        <x:v>101</x:v>
      </x:c>
      <x:c r="B102" s="40" t="str">
        <x:v>第 3 年</x:v>
      </x:c>
      <x:c r="C102" s="40" t="str">
        <x:v>M07 Python 進階、Git 與軟體工程</x:v>
      </x:c>
      <x:c r="D102" s="40" t="n">
        <x:v>5</x:v>
      </x:c>
      <x:c r="E102" s="40" t="str">
        <x:v>Branch：安全地試新點子</x:v>
      </x:c>
      <x:c r="F102" s="40" t="str">
        <x:v>CLI／Git／GitHub／測試／軟體設計</x:v>
      </x:c>
      <x:c r="G102" s="40" t="str">
        <x:v>理解分支、切換、合併與衝突概念</x:v>
      </x:c>
      <x:c r="H102" s="40" t="str">
        <x:v>00–10 任務開場：Branch：安全地試新點子
10–25 概念示範：理解分支、切換、合併與衝突概念
25–65 父子共同實作：父子在不同 branch 修改同一個遊戲功能再合併
65–75 休息／走動／聊天
75–105 孩子獨立改造：增加一個自選規則或功能
105–115 角色互換：孩子教爸爸操作與原理
115–120 錄音總結、作品命名、版本存檔</x:v>
      </x:c>
      <x:c r="I102" s="40" t="str">
        <x:v>父子在不同 branch 修改同一個遊戲功能再合併</x:v>
      </x:c>
      <x:c r="J102" s="40" t="str">
        <x:v>時間機器</x:v>
      </x:c>
      <x:c r="K102" s="40" t="str">
        <x:v>feature branch 練習</x:v>
      </x:c>
      <x:c r="L102" s="40" t="str">
        <x:v>安全</x:v>
      </x:c>
      <x:c r="M102" s="40" t="str">
        <x:v>確認 Git、GitHub、Terminal；使用練習 repo，避免操作重要檔案。</x:v>
      </x:c>
      <x:c r="N102" s="40" t="str">
        <x:v>15–30 分鐘自由改造；寫三句學習日誌：我做了什麼、哪裡卡住、下次想加什麼。</x:v>
      </x:c>
      <x:c r="O102" s="40" t="str">
        <x:v>完成「feature branch 練習」；能不用看稿說出核心原理；能指出至少一個錯誤、限制或安全注意事項。</x:v>
      </x:c>
      <x:c r="P102" s="40" t="str">
        <x:v>R15</x:v>
      </x:c>
      <x:c r="Q102" s="40" t="str">
        <x:v>https://docs.github.com/en/get-started/start-your-journey/hello-world</x:v>
      </x:c>
      <x:c r="R102" s="40" t="str">
        <x:v>請孩子回答：1. Branch：安全地試新點子在解決什麼？2. 我怎麼做？3. 哪裡容易錯？4. 生活中哪裡會用到？</x:v>
      </x:c>
      <x:c r="S102" s="40" t="str">
        <x:v>父子科技課 #101｜Branch：安全地試新點子</x:v>
      </x:c>
      <x:c r="T102" s="40" t="n">
        <x:v>3</x:v>
      </x:c>
      <x:c r="U102" s="38" t="str">
        <x:v>Branch 安全地試新點子 Git GitHub software engineering testing beginner tutorial GitHub</x:v>
      </x:c>
      <x:c r="V102" s="38" t="str">
        <x:v>https://www.youtube.com/results?search_query=Branch+%E5%AE%89%E5%85%A8%E5%9C%B0%E8%A9%A6%E6%96%B0%E9%BB%9E%E5%AD%90+Git+GitHub+software+engineering+testing+beginner+tutorial+GitHub</x:v>
      </x:c>
      <x:c r="W102" s="38" t="str">
        <x:v>課前暖身</x:v>
      </x:c>
      <x:c r="X102" s="38" t="str">
        <x:v>Branch 安全地試新點子 理解分支、切換、合併與衝突概念 hands on project for kids Git GitHub software engineering testing</x:v>
      </x:c>
      <x:c r="Y102" s="38" t="str">
        <x:v>https://www.youtube.com/results?search_query=Branch+%E5%AE%89%E5%85%A8%E5%9C%B0%E8%A9%A6%E6%96%B0%E9%BB%9E%E5%AD%90+%E7%90%86%E8%A7%A3%E5%88%86%E6%94%AF%E3%80%81%E5%88%87%E6%8F%9B%E3%80%81%E5%90%88%E4%BD%B5%E8%88%87%E8%A1%9D%E7%AA%81%E6%A6%82%E5%BF%B5+hands+on+project+for+kids+Git+GitHub+software+engineering+testing</x:v>
      </x:c>
      <x:c r="Z102" s="38" t="str">
        <x:v>課中實作參考</x:v>
      </x:c>
      <x:c r="AA102" s="38" t="str">
        <x:v>Branch 安全地試新點子 中文 教學 原理 安全 親子 Git GitHub software engineering testing</x:v>
      </x:c>
      <x:c r="AB102" s="38" t="str">
        <x:v>https://www.youtube.com/results?search_query=Branch+%E5%AE%89%E5%85%A8%E5%9C%B0%E8%A9%A6%E6%96%B0%E9%BB%9E%E5%AD%90+%E4%B8%AD%E6%96%87+%E6%95%99%E5%AD%B8+%E5%8E%9F%E7%90%86+%E5%AE%89%E5%85%A8+%E8%A6%AA%E5%AD%90+Git+GitHub+software+engineering+testing</x:v>
      </x:c>
      <x:c r="AC102" s="38" t="str">
        <x:v>課後延伸／親子討論</x:v>
      </x:c>
    </x:row>
    <x:row r="103" ht="105" customHeight="1">
      <x:c r="A103" s="40" t="n">
        <x:v>102</x:v>
      </x:c>
      <x:c r="B103" s="40" t="str">
        <x:v>第 3 年</x:v>
      </x:c>
      <x:c r="C103" s="40" t="str">
        <x:v>M07 Python 進階、Git 與軟體工程</x:v>
      </x:c>
      <x:c r="D103" s="40" t="n">
        <x:v>6</x:v>
      </x:c>
      <x:c r="E103" s="40" t="str">
        <x:v>Issue、任務與完成定義</x:v>
      </x:c>
      <x:c r="F103" s="40" t="str">
        <x:v>CLI／Git／GitHub／測試／軟體設計</x:v>
      </x:c>
      <x:c r="G103" s="40" t="str">
        <x:v>把模糊想法拆成可驗收工作項</x:v>
      </x:c>
      <x:c r="H103" s="40" t="str">
        <x:v>00–10 任務開場：Issue、任務與完成定義
10–25 概念示範：把模糊想法拆成可驗收工作項
25–65 父子共同實作：為專案開 5 個 issue，每個都有驗收條件
65–75 休息／走動／聊天
75–105 孩子獨立改造：增加一個自選規則或功能
105–115 角色互換：孩子教爸爸操作與原理
115–120 錄音總結、作品命名、版本存檔</x:v>
      </x:c>
      <x:c r="I103" s="40" t="str">
        <x:v>為專案開 5 個 issue，每個都有驗收條件</x:v>
      </x:c>
      <x:c r="J103" s="40" t="str">
        <x:v>Reviewer 對決</x:v>
      </x:c>
      <x:c r="K103" s="40" t="str">
        <x:v>專案工作清單</x:v>
      </x:c>
      <x:c r="L103" s="40" t="str">
        <x:v>工程紀律</x:v>
      </x:c>
      <x:c r="M103" s="40" t="str">
        <x:v>確認 Git、GitHub、Terminal；使用練習 repo，避免操作重要檔案。</x:v>
      </x:c>
      <x:c r="N103" s="40" t="str">
        <x:v>15–30 分鐘自由改造；寫三句學習日誌：我做了什麼、哪裡卡住、下次想加什麼。</x:v>
      </x:c>
      <x:c r="O103" s="40" t="str">
        <x:v>完成「專案工作清單」；能不用看稿說出核心原理；能指出至少一個錯誤、限制或安全注意事項。</x:v>
      </x:c>
      <x:c r="P103" s="40" t="str">
        <x:v>R14</x:v>
      </x:c>
      <x:c r="Q103" s="40" t="str">
        <x:v>https://skills.github.com/</x:v>
      </x:c>
      <x:c r="R103" s="40" t="str">
        <x:v>請孩子回答：1. Issue、任務與完成定義在解決什麼？2. 我怎麼做？3. 哪裡容易錯？4. 生活中哪裡會用到？</x:v>
      </x:c>
      <x:c r="S103" s="40" t="str">
        <x:v>父子科技課 #102｜Issue、任務與完成定義</x:v>
      </x:c>
      <x:c r="T103" s="40" t="n">
        <x:v>3</x:v>
      </x:c>
      <x:c r="U103" s="38" t="str">
        <x:v>Issue、任務與完成定義 Git GitHub software engineering testing beginner tutorial GitHub</x:v>
      </x:c>
      <x:c r="V103" s="38" t="str">
        <x:v>https://www.youtube.com/results?search_query=Issue%E3%80%81%E4%BB%BB%E5%8B%99%E8%88%87%E5%AE%8C%E6%88%90%E5%AE%9A%E7%BE%A9+Git+GitHub+software+engineering+testing+beginner+tutorial+GitHub</x:v>
      </x:c>
      <x:c r="W103" s="38" t="str">
        <x:v>課前暖身</x:v>
      </x:c>
      <x:c r="X103" s="38" t="str">
        <x:v>Issue、任務與完成定義 把模糊想法拆成可驗收工作項 hands on project for kids Git GitHub software engineering testing</x:v>
      </x:c>
      <x:c r="Y103" s="38" t="str">
        <x:v>https://www.youtube.com/results?search_query=Issue%E3%80%81%E4%BB%BB%E5%8B%99%E8%88%87%E5%AE%8C%E6%88%90%E5%AE%9A%E7%BE%A9+%E6%8A%8A%E6%A8%A1%E7%B3%8A%E6%83%B3%E6%B3%95%E6%8B%86%E6%88%90%E5%8F%AF%E9%A9%97%E6%94%B6%E5%B7%A5%E4%BD%9C%E9%A0%85+hands+on+project+for+kids+Git+GitHub+software+engineering+testing</x:v>
      </x:c>
      <x:c r="Z103" s="38" t="str">
        <x:v>課中實作參考</x:v>
      </x:c>
      <x:c r="AA103" s="38" t="str">
        <x:v>Issue、任務與完成定義 中文 教學 原理 安全 親子 Git GitHub software engineering testing</x:v>
      </x:c>
      <x:c r="AB103" s="38" t="str">
        <x:v>https://www.youtube.com/results?search_query=Issue%E3%80%81%E4%BB%BB%E5%8B%99%E8%88%87%E5%AE%8C%E6%88%90%E5%AE%9A%E7%BE%A9+%E4%B8%AD%E6%96%87+%E6%95%99%E5%AD%B8+%E5%8E%9F%E7%90%86+%E5%AE%89%E5%85%A8+%E8%A6%AA%E5%AD%90+Git+GitHub+software+engineering+testing</x:v>
      </x:c>
      <x:c r="AC103" s="38" t="str">
        <x:v>課後延伸／親子討論</x:v>
      </x:c>
    </x:row>
    <x:row r="104" ht="105" customHeight="1">
      <x:c r="A104" s="40" t="n">
        <x:v>103</x:v>
      </x:c>
      <x:c r="B104" s="40" t="str">
        <x:v>第 3 年</x:v>
      </x:c>
      <x:c r="C104" s="40" t="str">
        <x:v>M07 Python 進階、Git 與軟體工程</x:v>
      </x:c>
      <x:c r="D104" s="40" t="n">
        <x:v>7</x:v>
      </x:c>
      <x:c r="E104" s="40" t="str">
        <x:v>Python Modules 與專案結構</x:v>
      </x:c>
      <x:c r="F104" s="40" t="str">
        <x:v>CLI／Git／GitHub／測試／軟體設計</x:v>
      </x:c>
      <x:c r="G104" s="40" t="str">
        <x:v>拆分檔案、import、__main__ 與責任邊界</x:v>
      </x:c>
      <x:c r="H104" s="40" t="str">
        <x:v>00–10 任務開場：Python Modules 與專案結構
10–25 概念示範：拆分檔案、import、__main__ 與責任邊界
25–65 父子共同實作：把單檔程式拆成 data、logic、ui 三部分
65–75 休息／走動／聊天
75–105 孩子獨立改造：增加一個自選規則或功能
105–115 角色互換：孩子教爸爸操作與原理
115–120 錄音總結、作品命名、版本存檔</x:v>
      </x:c>
      <x:c r="I104" s="40" t="str">
        <x:v>把單檔程式拆成 data、logic、ui 三部分</x:v>
      </x:c>
      <x:c r="J104" s="40" t="str">
        <x:v>效能競賽</x:v>
      </x:c>
      <x:c r="K104" s="40" t="str">
        <x:v>模組化專案</x:v>
      </x:c>
      <x:c r="L104" s="40" t="str">
        <x:v>工程紀律</x:v>
      </x:c>
      <x:c r="M104" s="40" t="str">
        <x:v>確認 Git、GitHub、Terminal；使用練習 repo，避免操作重要檔案。</x:v>
      </x:c>
      <x:c r="N104" s="40" t="str">
        <x:v>15–30 分鐘自由改造；寫三句學習日誌：我做了什麼、哪裡卡住、下次想加什麼。</x:v>
      </x:c>
      <x:c r="O104" s="40" t="str">
        <x:v>完成「模組化專案」；能不用看稿說出核心原理；能指出至少一個錯誤、限制或安全注意事項。</x:v>
      </x:c>
      <x:c r="P104" s="40" t="str">
        <x:v>R16</x:v>
      </x:c>
      <x:c r="Q104" s="40" t="str">
        <x:v>https://docs.python.org/3/tutorial/index.html</x:v>
      </x:c>
      <x:c r="R104" s="40" t="str">
        <x:v>請孩子回答：1. Python Modules 與專案結構在解決什麼？2. 我怎麼做？3. 哪裡容易錯？4. 生活中哪裡會用到？</x:v>
      </x:c>
      <x:c r="S104" s="40" t="str">
        <x:v>父子科技課 #103｜Python Modules 與專案結構</x:v>
      </x:c>
      <x:c r="T104" s="40" t="n">
        <x:v>3</x:v>
      </x:c>
      <x:c r="U104" s="38" t="str">
        <x:v>Python Modules 與專案結構 Git GitHub software engineering testing beginner tutorial GitHub</x:v>
      </x:c>
      <x:c r="V104" s="38" t="str">
        <x:v>https://www.youtube.com/results?search_query=Python+Modules+%E8%88%87%E5%B0%88%E6%A1%88%E7%B5%90%E6%A7%8B+Git+GitHub+software+engineering+testing+beginner+tutorial+GitHub</x:v>
      </x:c>
      <x:c r="W104" s="38" t="str">
        <x:v>課前暖身</x:v>
      </x:c>
      <x:c r="X104" s="38" t="str">
        <x:v>Python Modules 與專案結構 拆分檔案、import、__main__ 與責任邊界 hands on project for kids Git GitHub software engineering</x:v>
      </x:c>
      <x:c r="Y104" s="38" t="str">
        <x:v>https://www.youtube.com/results?search_query=Python+Modules+%E8%88%87%E5%B0%88%E6%A1%88%E7%B5%90%E6%A7%8B+%E6%8B%86%E5%88%86%E6%AA%94%E6%A1%88%E3%80%81import%E3%80%81__main__+%E8%88%87%E8%B2%AC%E4%BB%BB%E9%82%8A%E7%95%8C+hands+on+project+for+kids+Git+GitHub+software+engineering+testing</x:v>
      </x:c>
      <x:c r="Z104" s="38" t="str">
        <x:v>課中實作參考</x:v>
      </x:c>
      <x:c r="AA104" s="38" t="str">
        <x:v>Python Modules 與專案結構 中文 教學 原理 安全 親子 Git GitHub software engineering testing</x:v>
      </x:c>
      <x:c r="AB104" s="38" t="str">
        <x:v>https://www.youtube.com/results?search_query=Python+Modules+%E8%88%87%E5%B0%88%E6%A1%88%E7%B5%90%E6%A7%8B+%E4%B8%AD%E6%96%87+%E6%95%99%E5%AD%B8+%E5%8E%9F%E7%90%86+%E5%AE%89%E5%85%A8+%E8%A6%AA%E5%AD%90+Git+GitHub+software+engineering+testing</x:v>
      </x:c>
      <x:c r="AC104" s="38" t="str">
        <x:v>課後延伸／親子討論</x:v>
      </x:c>
    </x:row>
    <x:row r="105" ht="105" customHeight="1">
      <x:c r="A105" s="40" t="n">
        <x:v>104</x:v>
      </x:c>
      <x:c r="B105" s="40" t="str">
        <x:v>第 3 年</x:v>
      </x:c>
      <x:c r="C105" s="40" t="str">
        <x:v>M07 Python 進階、Git 與軟體工程</x:v>
      </x:c>
      <x:c r="D105" s="40" t="n">
        <x:v>8</x:v>
      </x:c>
      <x:c r="E105" s="40" t="str">
        <x:v>Class 與物件：會保存狀態的角色</x:v>
      </x:c>
      <x:c r="F105" s="40" t="str">
        <x:v>CLI／Git／GitHub／測試／軟體設計</x:v>
      </x:c>
      <x:c r="G105" s="40" t="str">
        <x:v>理解 class、instance、attribute、method</x:v>
      </x:c>
      <x:c r="H105" s="40" t="str">
        <x:v>00–10 任務開場：Class 與物件：會保存狀態的角色
10–25 概念示範：理解 class、instance、attribute、method
25–65 父子共同實作：把玩家與電池物件化，讓它們有狀態與行為
65–75 休息／走動／聊天
75–105 孩子獨立改造：增加一個自選規則或功能
105–115 角色互換：孩子教爸爸操作與原理
115–120 錄音總結、作品命名、版本存檔</x:v>
      </x:c>
      <x:c r="I105" s="40" t="str">
        <x:v>把玩家與電池物件化，讓它們有狀態與行為</x:v>
      </x:c>
      <x:c r="J105" s="40" t="str">
        <x:v>Release 任務</x:v>
      </x:c>
      <x:c r="K105" s="40" t="str">
        <x:v>物件模型</x:v>
      </x:c>
      <x:c r="L105" s="40" t="str">
        <x:v>創意與設計</x:v>
      </x:c>
      <x:c r="M105" s="40" t="str">
        <x:v>確認 Git、GitHub、Terminal；使用練習 repo，避免操作重要檔案。</x:v>
      </x:c>
      <x:c r="N105" s="40" t="str">
        <x:v>15–30 分鐘自由改造；寫三句學習日誌：我做了什麼、哪裡卡住、下次想加什麼。</x:v>
      </x:c>
      <x:c r="O105" s="40" t="str">
        <x:v>完成「物件模型」；能不用看稿說出核心原理；能指出至少一個錯誤、限制或安全注意事項。</x:v>
      </x:c>
      <x:c r="P105" s="40" t="str">
        <x:v>R16</x:v>
      </x:c>
      <x:c r="Q105" s="40" t="str">
        <x:v>https://docs.python.org/3/tutorial/index.html</x:v>
      </x:c>
      <x:c r="R105" s="40" t="str">
        <x:v>請孩子回答：1. Class 與物件：會保存狀態的角色在解決什麼？2. 我怎麼做？3. 哪裡容易錯？4. 生活中哪裡會用到？</x:v>
      </x:c>
      <x:c r="S105" s="40" t="str">
        <x:v>父子科技課 #104｜Class 與物件：會保存狀態的角色</x:v>
      </x:c>
      <x:c r="T105" s="40" t="n">
        <x:v>3</x:v>
      </x:c>
      <x:c r="U105" s="38" t="str">
        <x:v>Class 與物件 會保存狀態的角色 Git GitHub software engineering testing beginner tutorial GitHub</x:v>
      </x:c>
      <x:c r="V105" s="38" t="str">
        <x:v>https://www.youtube.com/results?search_query=Class+%E8%88%87%E7%89%A9%E4%BB%B6+%E6%9C%83%E4%BF%9D%E5%AD%98%E7%8B%80%E6%85%8B%E7%9A%84%E8%A7%92%E8%89%B2+Git+GitHub+software+engineering+testing+beginner+tutorial+GitHub</x:v>
      </x:c>
      <x:c r="W105" s="38" t="str">
        <x:v>課前暖身</x:v>
      </x:c>
      <x:c r="X105" s="38" t="str">
        <x:v>Class 與物件 會保存狀態的角色 理解 class、instance、attribute、method hands on project for kids Git GitHub software engineering</x:v>
      </x:c>
      <x:c r="Y105" s="38" t="str">
        <x:v>https://www.youtube.com/results?search_query=Class+%E8%88%87%E7%89%A9%E4%BB%B6+%E6%9C%83%E4%BF%9D%E5%AD%98%E7%8B%80%E6%85%8B%E7%9A%84%E8%A7%92%E8%89%B2+%E7%90%86%E8%A7%A3+class%E3%80%81instance%E3%80%81attribute%E3%80%81method+hands+on+project+for+kids+Git+GitHub+software+engineering+testing</x:v>
      </x:c>
      <x:c r="Z105" s="38" t="str">
        <x:v>課中實作參考</x:v>
      </x:c>
      <x:c r="AA105" s="38" t="str">
        <x:v>Class 與物件 會保存狀態的角色 中文 教學 原理 安全 親子 Git GitHub software engineering testing</x:v>
      </x:c>
      <x:c r="AB105" s="38" t="str">
        <x:v>https://www.youtube.com/results?search_query=Class+%E8%88%87%E7%89%A9%E4%BB%B6+%E6%9C%83%E4%BF%9D%E5%AD%98%E7%8B%80%E6%85%8B%E7%9A%84%E8%A7%92%E8%89%B2+%E4%B8%AD%E6%96%87+%E6%95%99%E5%AD%B8+%E5%8E%9F%E7%90%86+%E5%AE%89%E5%85%A8+%E8%A6%AA%E5%AD%90+Git+GitHub+software+engineering+testing</x:v>
      </x:c>
      <x:c r="AC105" s="38" t="str">
        <x:v>課後延伸／親子討論</x:v>
      </x:c>
    </x:row>
    <x:row r="106" ht="105" customHeight="1">
      <x:c r="A106" s="40" t="n">
        <x:v>105</x:v>
      </x:c>
      <x:c r="B106" s="40" t="str">
        <x:v>第 3 年</x:v>
      </x:c>
      <x:c r="C106" s="40" t="str">
        <x:v>M07 Python 進階、Git 與軟體工程</x:v>
      </x:c>
      <x:c r="D106" s="40" t="n">
        <x:v>9</x:v>
      </x:c>
      <x:c r="E106" s="40" t="str">
        <x:v>測試：程式如何證明自己沒壞</x:v>
      </x:c>
      <x:c r="F106" s="40" t="str">
        <x:v>CLI／Git／GitHub／測試／軟體設計</x:v>
      </x:c>
      <x:c r="G106" s="40" t="str">
        <x:v>理解 arrange-act-assert、正常/邊界/錯誤案例</x:v>
      </x:c>
      <x:c r="H106" s="40" t="str">
        <x:v>00–10 任務開場：測試：程式如何證明自己沒壞
10–25 概念示範：理解 arrange-act-assert、正常/邊界/錯誤案例
25–65 父子共同實作：替三個函式寫自動測試，再故意改壞確認測試會失敗
65–75 休息／走動／聊天
75–105 孩子獨立改造：增加一個自選規則或功能
105–115 角色互換：孩子教爸爸操作與原理
115–120 錄音總結、作品命名、版本存檔</x:v>
      </x:c>
      <x:c r="I106" s="40" t="str">
        <x:v>替三個函式寫自動測試，再故意改壞確認測試會失敗</x:v>
      </x:c>
      <x:c r="J106" s="40" t="str">
        <x:v>時間機器</x:v>
      </x:c>
      <x:c r="K106" s="40" t="str">
        <x:v>測試套件</x:v>
      </x:c>
      <x:c r="L106" s="40" t="str">
        <x:v>問題拆解</x:v>
      </x:c>
      <x:c r="M106" s="40" t="str">
        <x:v>確認 Git、GitHub、Terminal；使用練習 repo，避免操作重要檔案。</x:v>
      </x:c>
      <x:c r="N106" s="40" t="str">
        <x:v>15–30 分鐘自由改造；寫三句學習日誌：我做了什麼、哪裡卡住、下次想加什麼。</x:v>
      </x:c>
      <x:c r="O106" s="40" t="str">
        <x:v>完成「測試套件」；能不用看稿說出核心原理；能指出至少一個錯誤、限制或安全注意事項。</x:v>
      </x:c>
      <x:c r="P106" s="40" t="str">
        <x:v>R16</x:v>
      </x:c>
      <x:c r="Q106" s="40" t="str">
        <x:v>https://docs.python.org/3/tutorial/index.html</x:v>
      </x:c>
      <x:c r="R106" s="40" t="str">
        <x:v>請孩子回答：1. 測試：程式如何證明自己沒壞在解決什麼？2. 我怎麼做？3. 哪裡容易錯？4. 生活中哪裡會用到？</x:v>
      </x:c>
      <x:c r="S106" s="40" t="str">
        <x:v>父子科技課 #105｜測試：程式如何證明自己沒壞</x:v>
      </x:c>
      <x:c r="T106" s="40" t="n">
        <x:v>4</x:v>
      </x:c>
      <x:c r="U106" s="38" t="str">
        <x:v>測試 程式如何證明自己沒壞 Git GitHub software engineering testing beginner tutorial GitHub</x:v>
      </x:c>
      <x:c r="V106" s="38" t="str">
        <x:v>https://www.youtube.com/results?search_query=%E6%B8%AC%E8%A9%A6+%E7%A8%8B%E5%BC%8F%E5%A6%82%E4%BD%95%E8%AD%89%E6%98%8E%E8%87%AA%E5%B7%B1%E6%B2%92%E5%A3%9E+Git+GitHub+software+engineering+testing+beginner+tutorial+GitHub</x:v>
      </x:c>
      <x:c r="W106" s="38" t="str">
        <x:v>課前暖身</x:v>
      </x:c>
      <x:c r="X106" s="38" t="str">
        <x:v>測試 程式如何證明自己沒壞 理解 arrange act assert、正常/邊界/錯誤案例 hands on project for kids Git GitHub software</x:v>
      </x:c>
      <x:c r="Y106" s="38" t="str">
        <x:v>https://www.youtube.com/results?search_query=%E6%B8%AC%E8%A9%A6+%E7%A8%8B%E5%BC%8F%E5%A6%82%E4%BD%95%E8%AD%89%E6%98%8E%E8%87%AA%E5%B7%B1%E6%B2%92%E5%A3%9E+%E7%90%86%E8%A7%A3+arrange+act+assert%E3%80%81%E6%AD%A3%E5%B8%B8%2F%E9%82%8A%E7%95%8C%2F%E9%8C%AF%E8%AA%A4%E6%A1%88%E4%BE%8B+hands+on+project+for+kids+Git+GitHub+software+engineering+testing</x:v>
      </x:c>
      <x:c r="Z106" s="38" t="str">
        <x:v>課中實作參考</x:v>
      </x:c>
      <x:c r="AA106" s="38" t="str">
        <x:v>測試 程式如何證明自己沒壞 中文 教學 原理 安全 親子 Git GitHub software engineering testing</x:v>
      </x:c>
      <x:c r="AB106" s="38" t="str">
        <x:v>https://www.youtube.com/results?search_query=%E6%B8%AC%E8%A9%A6+%E7%A8%8B%E5%BC%8F%E5%A6%82%E4%BD%95%E8%AD%89%E6%98%8E%E8%87%AA%E5%B7%B1%E6%B2%92%E5%A3%9E+%E4%B8%AD%E6%96%87+%E6%95%99%E5%AD%B8+%E5%8E%9F%E7%90%86+%E5%AE%89%E5%85%A8+%E8%A6%AA%E5%AD%90+Git+GitHub+software+engineering+testing</x:v>
      </x:c>
      <x:c r="AC106" s="38" t="str">
        <x:v>課後延伸／親子討論</x:v>
      </x:c>
    </x:row>
    <x:row r="107" ht="105" customHeight="1">
      <x:c r="A107" s="40" t="n">
        <x:v>106</x:v>
      </x:c>
      <x:c r="B107" s="40" t="str">
        <x:v>第 3 年</x:v>
      </x:c>
      <x:c r="C107" s="40" t="str">
        <x:v>M07 Python 進階、Git 與軟體工程</x:v>
      </x:c>
      <x:c r="D107" s="40" t="n">
        <x:v>10</x:v>
      </x:c>
      <x:c r="E107" s="40" t="str">
        <x:v>Debug 與 Logging：留下線索</x:v>
      </x:c>
      <x:c r="F107" s="40" t="str">
        <x:v>CLI／Git／GitHub／測試／軟體設計</x:v>
      </x:c>
      <x:c r="G107" s="40" t="str">
        <x:v>使用 breakpoint、print/log、stack trace 與最小重現</x:v>
      </x:c>
      <x:c r="H107" s="40" t="str">
        <x:v>00–10 任務開場：Debug 與 Logging：留下線索
10–25 概念示範：使用 breakpoint、print/log、stack trace 與最小重現
25–65 父子共同實作：解一個多層函式 Bug，寫出根因與修正
65–75 休息／走動／聊天
75–105 孩子獨立改造：增加一個自選規則或功能
105–115 角色互換：孩子教爸爸操作與原理
115–120 錄音總結、作品命名、版本存檔</x:v>
      </x:c>
      <x:c r="I107" s="40" t="str">
        <x:v>解一個多層函式 Bug，寫出根因與修正</x:v>
      </x:c>
      <x:c r="J107" s="40" t="str">
        <x:v>Reviewer 對決</x:v>
      </x:c>
      <x:c r="K107" s="40" t="str">
        <x:v>除錯報告</x:v>
      </x:c>
      <x:c r="L107" s="40" t="str">
        <x:v>問題拆解</x:v>
      </x:c>
      <x:c r="M107" s="40" t="str">
        <x:v>確認 Git、GitHub、Terminal；使用練習 repo，避免操作重要檔案。</x:v>
      </x:c>
      <x:c r="N107" s="40" t="str">
        <x:v>15–30 分鐘自由改造；寫三句學習日誌：我做了什麼、哪裡卡住、下次想加什麼。</x:v>
      </x:c>
      <x:c r="O107" s="40" t="str">
        <x:v>完成「除錯報告」；能不用看稿說出核心原理；能指出至少一個錯誤、限制或安全注意事項。</x:v>
      </x:c>
      <x:c r="P107" s="40" t="str">
        <x:v>R16</x:v>
      </x:c>
      <x:c r="Q107" s="40" t="str">
        <x:v>https://docs.python.org/3/tutorial/index.html</x:v>
      </x:c>
      <x:c r="R107" s="40" t="str">
        <x:v>請孩子回答：1. Debug 與 Logging：留下線索在解決什麼？2. 我怎麼做？3. 哪裡容易錯？4. 生活中哪裡會用到？</x:v>
      </x:c>
      <x:c r="S107" s="40" t="str">
        <x:v>父子科技課 #106｜Debug 與 Logging：留下線索</x:v>
      </x:c>
      <x:c r="T107" s="40" t="n">
        <x:v>4</x:v>
      </x:c>
      <x:c r="U107" s="38" t="str">
        <x:v>Debug 與 Logging 留下線索 Git GitHub software engineering testing beginner tutorial GitHub</x:v>
      </x:c>
      <x:c r="V107" s="38" t="str">
        <x:v>https://www.youtube.com/results?search_query=Debug+%E8%88%87+Logging+%E7%95%99%E4%B8%8B%E7%B7%9A%E7%B4%A2+Git+GitHub+software+engineering+testing+beginner+tutorial+GitHub</x:v>
      </x:c>
      <x:c r="W107" s="38" t="str">
        <x:v>課前暖身</x:v>
      </x:c>
      <x:c r="X107" s="38" t="str">
        <x:v>Debug 與 Logging 留下線索 使用 breakpoint、print/log、stack trace 與最小重現 hands on project for kids Git</x:v>
      </x:c>
      <x:c r="Y107" s="38" t="str">
        <x:v>https://www.youtube.com/results?search_query=Debug+%E8%88%87+Logging+%E7%95%99%E4%B8%8B%E7%B7%9A%E7%B4%A2+%E4%BD%BF%E7%94%A8+breakpoint%E3%80%81print%2Flog%E3%80%81stack+trace+%E8%88%87%E6%9C%80%E5%B0%8F%E9%87%8D%E7%8F%BE+hands+on+project+for+kids+Git+GitHub+software+engineering+testing</x:v>
      </x:c>
      <x:c r="Z107" s="38" t="str">
        <x:v>課中實作參考</x:v>
      </x:c>
      <x:c r="AA107" s="38" t="str">
        <x:v>Debug 與 Logging 留下線索 中文 教學 原理 安全 親子 Git GitHub software engineering testing</x:v>
      </x:c>
      <x:c r="AB107" s="38" t="str">
        <x:v>https://www.youtube.com/results?search_query=Debug+%E8%88%87+Logging+%E7%95%99%E4%B8%8B%E7%B7%9A%E7%B4%A2+%E4%B8%AD%E6%96%87+%E6%95%99%E5%AD%B8+%E5%8E%9F%E7%90%86+%E5%AE%89%E5%85%A8+%E8%A6%AA%E5%AD%90+Git+GitHub+software+engineering+testing</x:v>
      </x:c>
      <x:c r="AC107" s="38" t="str">
        <x:v>課後延伸／親子討論</x:v>
      </x:c>
    </x:row>
    <x:row r="108" ht="105" customHeight="1">
      <x:c r="A108" s="40" t="n">
        <x:v>107</x:v>
      </x:c>
      <x:c r="B108" s="40" t="str">
        <x:v>第 3 年</x:v>
      </x:c>
      <x:c r="C108" s="40" t="str">
        <x:v>M07 Python 進階、Git 與軟體工程</x:v>
      </x:c>
      <x:c r="D108" s="40" t="n">
        <x:v>11</x:v>
      </x:c>
      <x:c r="E108" s="40" t="str">
        <x:v>演算法競賽：更快不一定更好</x:v>
      </x:c>
      <x:c r="F108" s="40" t="str">
        <x:v>CLI／Git／GitHub／測試／軟體設計</x:v>
      </x:c>
      <x:c r="G108" s="40" t="str">
        <x:v>比較線性搜尋、排序與時間複雜度直覺</x:v>
      </x:c>
      <x:c r="H108" s="40" t="str">
        <x:v>00–10 任務開場：演算法競賽：更快不一定更好
10–25 概念示範：比較線性搜尋、排序與時間複雜度直覺
25–65 父子共同實作：用撲克牌與程式比較不同找牌方法
65–75 休息／走動／聊天
75–105 孩子獨立改造：增加一個自選規則或功能
105–115 角色互換：孩子教爸爸操作與原理
115–120 錄音總結、作品命名、版本存檔</x:v>
      </x:c>
      <x:c r="I108" s="40" t="str">
        <x:v>用撲克牌與程式比較不同找牌方法</x:v>
      </x:c>
      <x:c r="J108" s="40" t="str">
        <x:v>效能競賽</x:v>
      </x:c>
      <x:c r="K108" s="40" t="str">
        <x:v>效能實驗表</x:v>
      </x:c>
      <x:c r="L108" s="40" t="str">
        <x:v>問題拆解</x:v>
      </x:c>
      <x:c r="M108" s="40" t="str">
        <x:v>確認 Git、GitHub、Terminal；使用練習 repo，避免操作重要檔案。</x:v>
      </x:c>
      <x:c r="N108" s="40" t="str">
        <x:v>15–30 分鐘自由改造；寫三句學習日誌：我做了什麼、哪裡卡住、下次想加什麼。</x:v>
      </x:c>
      <x:c r="O108" s="40" t="str">
        <x:v>完成「效能實驗表」；能不用看稿說出核心原理；能指出至少一個錯誤、限制或安全注意事項。</x:v>
      </x:c>
      <x:c r="P108" s="40" t="str">
        <x:v>R16</x:v>
      </x:c>
      <x:c r="Q108" s="40" t="str">
        <x:v>https://docs.python.org/3/tutorial/index.html</x:v>
      </x:c>
      <x:c r="R108" s="40" t="str">
        <x:v>請孩子回答：1. 演算法競賽：更快不一定更好在解決什麼？2. 我怎麼做？3. 哪裡容易錯？4. 生活中哪裡會用到？</x:v>
      </x:c>
      <x:c r="S108" s="40" t="str">
        <x:v>父子科技課 #107｜演算法競賽：更快不一定更好</x:v>
      </x:c>
      <x:c r="T108" s="40" t="n">
        <x:v>4</x:v>
      </x:c>
      <x:c r="U108" s="38" t="str">
        <x:v>演算法競賽 更快不一定更好 Git GitHub software engineering testing beginner tutorial GitHub</x:v>
      </x:c>
      <x:c r="V108" s="38" t="str">
        <x:v>https://www.youtube.com/results?search_query=%E6%BC%94%E7%AE%97%E6%B3%95%E7%AB%B6%E8%B3%BD+%E6%9B%B4%E5%BF%AB%E4%B8%8D%E4%B8%80%E5%AE%9A%E6%9B%B4%E5%A5%BD+Git+GitHub+software+engineering+testing+beginner+tutorial+GitHub</x:v>
      </x:c>
      <x:c r="W108" s="38" t="str">
        <x:v>課前暖身</x:v>
      </x:c>
      <x:c r="X108" s="38" t="str">
        <x:v>演算法競賽 更快不一定更好 比較線性搜尋、排序與時間複雜度直覺 hands on project for kids Git GitHub software engineering testing</x:v>
      </x:c>
      <x:c r="Y108" s="38" t="str">
        <x:v>https://www.youtube.com/results?search_query=%E6%BC%94%E7%AE%97%E6%B3%95%E7%AB%B6%E8%B3%BD+%E6%9B%B4%E5%BF%AB%E4%B8%8D%E4%B8%80%E5%AE%9A%E6%9B%B4%E5%A5%BD+%E6%AF%94%E8%BC%83%E7%B7%9A%E6%80%A7%E6%90%9C%E5%B0%8B%E3%80%81%E6%8E%92%E5%BA%8F%E8%88%87%E6%99%82%E9%96%93%E8%A4%87%E9%9B%9C%E5%BA%A6%E7%9B%B4%E8%A6%BA+hands+on+project+for+kids+Git+GitHub+software+engineering+testing</x:v>
      </x:c>
      <x:c r="Z108" s="38" t="str">
        <x:v>課中實作參考</x:v>
      </x:c>
      <x:c r="AA108" s="38" t="str">
        <x:v>演算法競賽 更快不一定更好 中文 教學 原理 安全 親子 Git GitHub software engineering testing</x:v>
      </x:c>
      <x:c r="AB108" s="38" t="str">
        <x:v>https://www.youtube.com/results?search_query=%E6%BC%94%E7%AE%97%E6%B3%95%E7%AB%B6%E8%B3%BD+%E6%9B%B4%E5%BF%AB%E4%B8%8D%E4%B8%80%E5%AE%9A%E6%9B%B4%E5%A5%BD+%E4%B8%AD%E6%96%87+%E6%95%99%E5%AD%B8+%E5%8E%9F%E7%90%86+%E5%AE%89%E5%85%A8+%E8%A6%AA%E5%AD%90+Git+GitHub+software+engineering+testing</x:v>
      </x:c>
      <x:c r="AC108" s="38" t="str">
        <x:v>課後延伸／親子討論</x:v>
      </x:c>
    </x:row>
    <x:row r="109" ht="105" customHeight="1">
      <x:c r="A109" s="40" t="n">
        <x:v>108</x:v>
      </x:c>
      <x:c r="B109" s="40" t="str">
        <x:v>第 3 年</x:v>
      </x:c>
      <x:c r="C109" s="40" t="str">
        <x:v>M07 Python 進階、Git 與軟體工程</x:v>
      </x:c>
      <x:c r="D109" s="40" t="n">
        <x:v>12</x:v>
      </x:c>
      <x:c r="E109" s="40" t="str">
        <x:v>資料結構選擇：list、dict、set、queue</x:v>
      </x:c>
      <x:c r="F109" s="40" t="str">
        <x:v>CLI／Git／GitHub／測試／軟體設計</x:v>
      </x:c>
      <x:c r="G109" s="40" t="str">
        <x:v>依需求選擇資料結構並說明取捨</x:v>
      </x:c>
      <x:c r="H109" s="40" t="str">
        <x:v>00–10 任務開場：資料結構選擇：list、dict、set、queue
10–25 概念示範：依需求選擇資料結構並說明取捨
25–65 父子共同實作：製作任務排程器，支援去重、優先順序與查找
65–75 休息／走動／聊天
75–105 孩子獨立改造：增加一個自選規則或功能
105–115 角色互換：孩子教爸爸操作與原理
115–120 錄音總結、作品命名、版本存檔</x:v>
      </x:c>
      <x:c r="I109" s="40" t="str">
        <x:v>製作任務排程器，支援去重、優先順序與查找</x:v>
      </x:c>
      <x:c r="J109" s="40" t="str">
        <x:v>Release 任務</x:v>
      </x:c>
      <x:c r="K109" s="40" t="str">
        <x:v>任務資料模型</x:v>
      </x:c>
      <x:c r="L109" s="40" t="str">
        <x:v>工程紀律</x:v>
      </x:c>
      <x:c r="M109" s="40" t="str">
        <x:v>確認 Git、GitHub、Terminal；使用練習 repo，避免操作重要檔案。</x:v>
      </x:c>
      <x:c r="N109" s="40" t="str">
        <x:v>15–30 分鐘自由改造；寫三句學習日誌：我做了什麼、哪裡卡住、下次想加什麼。</x:v>
      </x:c>
      <x:c r="O109" s="40" t="str">
        <x:v>完成「任務資料模型」；能不用看稿說出核心原理；能指出至少一個錯誤、限制或安全注意事項。</x:v>
      </x:c>
      <x:c r="P109" s="40" t="str">
        <x:v>R16</x:v>
      </x:c>
      <x:c r="Q109" s="40" t="str">
        <x:v>https://docs.python.org/3/tutorial/index.html</x:v>
      </x:c>
      <x:c r="R109" s="40" t="str">
        <x:v>請孩子回答：1. 資料結構選擇：list、dict、set、queue在解決什麼？2. 我怎麼做？3. 哪裡容易錯？4. 生活中哪裡會用到？</x:v>
      </x:c>
      <x:c r="S109" s="40" t="str">
        <x:v>父子科技課 #108｜資料結構選擇：list、dict、set、queue</x:v>
      </x:c>
      <x:c r="T109" s="40" t="n">
        <x:v>4</x:v>
      </x:c>
      <x:c r="U109" s="38" t="str">
        <x:v>資料結構選擇 list、dict、set、queue Git GitHub software engineering testing beginner tutorial GitHub</x:v>
      </x:c>
      <x:c r="V109" s="38" t="str">
        <x:v>https://www.youtube.com/results?search_query=%E8%B3%87%E6%96%99%E7%B5%90%E6%A7%8B%E9%81%B8%E6%93%87+list%E3%80%81dict%E3%80%81set%E3%80%81queue+Git+GitHub+software+engineering+testing+beginner+tutorial+GitHub</x:v>
      </x:c>
      <x:c r="W109" s="38" t="str">
        <x:v>課前暖身</x:v>
      </x:c>
      <x:c r="X109" s="38" t="str">
        <x:v>資料結構選擇 list、dict、set、queue 依需求選擇資料結構並說明取捨 hands on project for kids Git GitHub software engineering testing</x:v>
      </x:c>
      <x:c r="Y109" s="38" t="str">
        <x:v>https://www.youtube.com/results?search_query=%E8%B3%87%E6%96%99%E7%B5%90%E6%A7%8B%E9%81%B8%E6%93%87+list%E3%80%81dict%E3%80%81set%E3%80%81queue+%E4%BE%9D%E9%9C%80%E6%B1%82%E9%81%B8%E6%93%87%E8%B3%87%E6%96%99%E7%B5%90%E6%A7%8B%E4%B8%A6%E8%AA%AA%E6%98%8E%E5%8F%96%E6%8D%A8+hands+on+project+for+kids+Git+GitHub+software+engineering+testing</x:v>
      </x:c>
      <x:c r="Z109" s="38" t="str">
        <x:v>課中實作參考</x:v>
      </x:c>
      <x:c r="AA109" s="38" t="str">
        <x:v>資料結構選擇 list、dict、set、queue 中文 教學 原理 安全 親子 Git GitHub software engineering testing</x:v>
      </x:c>
      <x:c r="AB109" s="38" t="str">
        <x:v>https://www.youtube.com/results?search_query=%E8%B3%87%E6%96%99%E7%B5%90%E6%A7%8B%E9%81%B8%E6%93%87+list%E3%80%81dict%E3%80%81set%E3%80%81queue+%E4%B8%AD%E6%96%87+%E6%95%99%E5%AD%B8+%E5%8E%9F%E7%90%86+%E5%AE%89%E5%85%A8+%E8%A6%AA%E5%AD%90+Git+GitHub+software+engineering+testing</x:v>
      </x:c>
      <x:c r="AC109" s="38" t="str">
        <x:v>課後延伸／親子討論</x:v>
      </x:c>
    </x:row>
    <x:row r="110" ht="105" customHeight="1">
      <x:c r="A110" s="40" t="n">
        <x:v>109</x:v>
      </x:c>
      <x:c r="B110" s="40" t="str">
        <x:v>第 3 年</x:v>
      </x:c>
      <x:c r="C110" s="40" t="str">
        <x:v>M07 Python 進階、Git 與軟體工程</x:v>
      </x:c>
      <x:c r="D110" s="40" t="n">
        <x:v>13</x:v>
      </x:c>
      <x:c r="E110" s="40" t="str">
        <x:v>和 AI Pair Programming</x:v>
      </x:c>
      <x:c r="F110" s="40" t="str">
        <x:v>CLI／Git／GitHub／測試／軟體設計</x:v>
      </x:c>
      <x:c r="G110" s="40" t="str">
        <x:v>學會先寫需求與測試，再讓 AI 提方案並逐行審查</x:v>
      </x:c>
      <x:c r="H110" s="40" t="str">
        <x:v>00–10 任務開場：和 AI Pair Programming
10–25 概念示範：學會先寫需求與測試，再讓 AI 提方案並逐行審查
25–65 父子共同實作：同一功能分成人寫、AI 寫、共同改三版比較
65–75 休息／走動／聊天
75–105 孩子獨立改造：增加一個自選規則或功能
105–115 角色互換：孩子教爸爸操作與原理
115–120 錄音總結、作品命名、版本存檔</x:v>
      </x:c>
      <x:c r="I110" s="40" t="str">
        <x:v>同一功能分成人寫、AI 寫、共同改三版比較</x:v>
      </x:c>
      <x:c r="J110" s="40" t="str">
        <x:v>時間機器</x:v>
      </x:c>
      <x:c r="K110" s="40" t="str">
        <x:v>AI 協作紀錄</x:v>
      </x:c>
      <x:c r="L110" s="40" t="str">
        <x:v>工程紀律</x:v>
      </x:c>
      <x:c r="M110" s="40" t="str">
        <x:v>確認 Git、GitHub、Terminal；使用練習 repo，避免操作重要檔案。</x:v>
      </x:c>
      <x:c r="N110" s="40" t="str">
        <x:v>15–30 分鐘自由改造；寫三句學習日誌：我做了什麼、哪裡卡住、下次想加什麼。</x:v>
      </x:c>
      <x:c r="O110" s="40" t="str">
        <x:v>完成「AI 協作紀錄」；能不用看稿說出核心原理；能指出至少一個錯誤、限制或安全注意事項。</x:v>
      </x:c>
      <x:c r="P110" s="40" t="str">
        <x:v>R20,R21</x:v>
      </x:c>
      <x:c r="Q110" s="40" t="str">
        <x:v>https://academy.openai.com/</x:v>
      </x:c>
      <x:c r="R110" s="40" t="str">
        <x:v>請孩子回答：1. 和 AI Pair Programming在解決什麼？2. 我怎麼做？3. 哪裡容易錯？4. 生活中哪裡會用到？</x:v>
      </x:c>
      <x:c r="S110" s="40" t="str">
        <x:v>父子科技課 #109｜和 AI Pair Programming</x:v>
      </x:c>
      <x:c r="T110" s="40" t="n">
        <x:v>4</x:v>
      </x:c>
      <x:c r="U110" s="38" t="str">
        <x:v>和 AI Pair Programming Git GitHub software engineering testing beginner tutorial GitHub</x:v>
      </x:c>
      <x:c r="V110" s="38" t="str">
        <x:v>https://www.youtube.com/results?search_query=%E5%92%8C+AI+Pair+Programming+Git+GitHub+software+engineering+testing+beginner+tutorial+GitHub</x:v>
      </x:c>
      <x:c r="W110" s="38" t="str">
        <x:v>課前暖身</x:v>
      </x:c>
      <x:c r="X110" s="38" t="str">
        <x:v>和 AI Pair Programming 學會先寫需求與測試，再讓 AI 提方案並逐行審查 hands on project for kids Git GitHub</x:v>
      </x:c>
      <x:c r="Y110" s="38" t="str">
        <x:v>https://www.youtube.com/results?search_query=%E5%92%8C+AI+Pair+Programming+%E5%AD%B8%E6%9C%83%E5%85%88%E5%AF%AB%E9%9C%80%E6%B1%82%E8%88%87%E6%B8%AC%E8%A9%A6%EF%BC%8C%E5%86%8D%E8%AE%93+AI+%E6%8F%90%E6%96%B9%E6%A1%88%E4%B8%A6%E9%80%90%E8%A1%8C%E5%AF%A9%E6%9F%A5+hands+on+project+for+kids+Git+GitHub+software+engineering+testing</x:v>
      </x:c>
      <x:c r="Z110" s="38" t="str">
        <x:v>課中實作參考</x:v>
      </x:c>
      <x:c r="AA110" s="38" t="str">
        <x:v>和 AI Pair Programming 中文 教學 原理 安全 親子 Git GitHub software engineering testing</x:v>
      </x:c>
      <x:c r="AB110" s="38" t="str">
        <x:v>https://www.youtube.com/results?search_query=%E5%92%8C+AI+Pair+Programming+%E4%B8%AD%E6%96%87+%E6%95%99%E5%AD%B8+%E5%8E%9F%E7%90%86+%E5%AE%89%E5%85%A8+%E8%A6%AA%E5%AD%90+Git+GitHub+software+engineering+testing</x:v>
      </x:c>
      <x:c r="AC110" s="38" t="str">
        <x:v>課後延伸／親子討論</x:v>
      </x:c>
    </x:row>
    <x:row r="111" ht="105" customHeight="1">
      <x:c r="A111" s="40" t="n">
        <x:v>110</x:v>
      </x:c>
      <x:c r="B111" s="40" t="str">
        <x:v>第 3 年</x:v>
      </x:c>
      <x:c r="C111" s="40" t="str">
        <x:v>M07 Python 進階、Git 與軟體工程</x:v>
      </x:c>
      <x:c r="D111" s="40" t="n">
        <x:v>14</x:v>
      </x:c>
      <x:c r="E111" s="40" t="str">
        <x:v>CLI 工具企劃：解決一個真問題</x:v>
      </x:c>
      <x:c r="F111" s="40" t="str">
        <x:v>CLI／Git／GitHub／測試／軟體設計</x:v>
      </x:c>
      <x:c r="G111" s="40" t="str">
        <x:v>定義使用者、命令、輸入輸出、錯誤與資料格式</x:v>
      </x:c>
      <x:c r="H111" s="40" t="str">
        <x:v>00–10 任務開場：CLI 工具企劃：解決一個真問題
10–25 概念示範：定義使用者、命令、輸入輸出、錯誤與資料格式
25–65 父子共同實作：選擇檔名整理器、讀書計時器或家庭設備清單
65–75 休息／走動／聊天
75–105 孩子獨立改造：增加一個自選規則或功能
105–115 角色互換：孩子教爸爸操作與原理
115–120 錄音總結、作品命名、版本存檔</x:v>
      </x:c>
      <x:c r="I111" s="40" t="str">
        <x:v>選擇檔名整理器、讀書計時器或家庭設備清單</x:v>
      </x:c>
      <x:c r="J111" s="40" t="str">
        <x:v>Reviewer 對決</x:v>
      </x:c>
      <x:c r="K111" s="40" t="str">
        <x:v>CLI 規格書</x:v>
      </x:c>
      <x:c r="L111" s="40" t="str">
        <x:v>工程紀律</x:v>
      </x:c>
      <x:c r="M111" s="40" t="str">
        <x:v>確認 Git、GitHub、Terminal；使用練習 repo，避免操作重要檔案。</x:v>
      </x:c>
      <x:c r="N111" s="40" t="str">
        <x:v>15–30 分鐘自由改造；寫三句學習日誌：我做了什麼、哪裡卡住、下次想加什麼。</x:v>
      </x:c>
      <x:c r="O111" s="40" t="str">
        <x:v>完成「CLI 規格書」；能不用看稿說出核心原理；能指出至少一個錯誤、限制或安全注意事項。</x:v>
      </x:c>
      <x:c r="P111" s="40" t="str">
        <x:v>R14</x:v>
      </x:c>
      <x:c r="Q111" s="40" t="str">
        <x:v>https://skills.github.com/</x:v>
      </x:c>
      <x:c r="R111" s="40" t="str">
        <x:v>請孩子回答：1. CLI 工具企劃：解決一個真問題在解決什麼？2. 我怎麼做？3. 哪裡容易錯？4. 生活中哪裡會用到？</x:v>
      </x:c>
      <x:c r="S111" s="40" t="str">
        <x:v>父子科技課 #110｜CLI 工具企劃：解決一個真問題</x:v>
      </x:c>
      <x:c r="T111" s="40" t="n">
        <x:v>4</x:v>
      </x:c>
      <x:c r="U111" s="38" t="str">
        <x:v>CLI 工具企劃 解決一個真問題 Git GitHub software engineering testing beginner tutorial GitHub</x:v>
      </x:c>
      <x:c r="V111" s="38" t="str">
        <x:v>https://www.youtube.com/results?search_query=CLI+%E5%B7%A5%E5%85%B7%E4%BC%81%E5%8A%83+%E8%A7%A3%E6%B1%BA%E4%B8%80%E5%80%8B%E7%9C%9F%E5%95%8F%E9%A1%8C+Git+GitHub+software+engineering+testing+beginner+tutorial+GitHub</x:v>
      </x:c>
      <x:c r="W111" s="38" t="str">
        <x:v>課前暖身</x:v>
      </x:c>
      <x:c r="X111" s="38" t="str">
        <x:v>CLI 工具企劃 解決一個真問題 定義使用者、命令、輸入輸出、錯誤與資料格式 hands on project for kids Git GitHub software engineering testing</x:v>
      </x:c>
      <x:c r="Y111" s="38" t="str">
        <x:v>https://www.youtube.com/results?search_query=CLI+%E5%B7%A5%E5%85%B7%E4%BC%81%E5%8A%83+%E8%A7%A3%E6%B1%BA%E4%B8%80%E5%80%8B%E7%9C%9F%E5%95%8F%E9%A1%8C+%E5%AE%9A%E7%BE%A9%E4%BD%BF%E7%94%A8%E8%80%85%E3%80%81%E5%91%BD%E4%BB%A4%E3%80%81%E8%BC%B8%E5%85%A5%E8%BC%B8%E5%87%BA%E3%80%81%E9%8C%AF%E8%AA%A4%E8%88%87%E8%B3%87%E6%96%99%E6%A0%BC%E5%BC%8F+hands+on+project+for+kids+Git+GitHub+software+engineering+testing</x:v>
      </x:c>
      <x:c r="Z111" s="38" t="str">
        <x:v>課中實作參考</x:v>
      </x:c>
      <x:c r="AA111" s="38" t="str">
        <x:v>CLI 工具企劃 解決一個真問題 中文 教學 原理 安全 親子 Git GitHub software engineering testing</x:v>
      </x:c>
      <x:c r="AB111" s="38" t="str">
        <x:v>https://www.youtube.com/results?search_query=CLI+%E5%B7%A5%E5%85%B7%E4%BC%81%E5%8A%83+%E8%A7%A3%E6%B1%BA%E4%B8%80%E5%80%8B%E7%9C%9F%E5%95%8F%E9%A1%8C+%E4%B8%AD%E6%96%87+%E6%95%99%E5%AD%B8+%E5%8E%9F%E7%90%86+%E5%AE%89%E5%85%A8+%E8%A6%AA%E5%AD%90+Git+GitHub+software+engineering+testing</x:v>
      </x:c>
      <x:c r="AC111" s="38" t="str">
        <x:v>課後延伸／親子討論</x:v>
      </x:c>
    </x:row>
    <x:row r="112" ht="105" customHeight="1">
      <x:c r="A112" s="40" t="n">
        <x:v>111</x:v>
      </x:c>
      <x:c r="B112" s="40" t="str">
        <x:v>第 3 年</x:v>
      </x:c>
      <x:c r="C112" s="40" t="str">
        <x:v>M07 Python 進階、Git 與軟體工程</x:v>
      </x:c>
      <x:c r="D112" s="40" t="n">
        <x:v>15</x:v>
      </x:c>
      <x:c r="E112" s="40" t="str">
        <x:v>Code Review 與 Release Candidate</x:v>
      </x:c>
      <x:c r="F112" s="40" t="str">
        <x:v>CLI／Git／GitHub／測試／軟體設計</x:v>
      </x:c>
      <x:c r="G112" s="40" t="str">
        <x:v>從正確性、可讀性、測試、安全與文件審查</x:v>
      </x:c>
      <x:c r="H112" s="40" t="str">
        <x:v>00–10 任務開場：Code Review 與 Release Candidate
10–25 概念示範：從正確性、可讀性、測試、安全與文件審查
25–65 父子共同實作：父子互換 reviewer，所有意見需有理由與修正
65–75 休息／走動／聊天
75–105 孩子獨立改造：增加一個自選規則或功能
105–115 角色互換：孩子教爸爸操作與原理
115–120 錄音總結、作品命名、版本存檔</x:v>
      </x:c>
      <x:c r="I112" s="40" t="str">
        <x:v>父子互換 reviewer，所有意見需有理由與修正</x:v>
      </x:c>
      <x:c r="J112" s="40" t="str">
        <x:v>效能競賽</x:v>
      </x:c>
      <x:c r="K112" s="40" t="str">
        <x:v>RC 版本＋Review 紀錄</x:v>
      </x:c>
      <x:c r="L112" s="40" t="str">
        <x:v>合作與回饋</x:v>
      </x:c>
      <x:c r="M112" s="40" t="str">
        <x:v>確認 Git、GitHub、Terminal；使用練習 repo，避免操作重要檔案。</x:v>
      </x:c>
      <x:c r="N112" s="40" t="str">
        <x:v>15–30 分鐘自由改造；寫三句學習日誌：我做了什麼、哪裡卡住、下次想加什麼。</x:v>
      </x:c>
      <x:c r="O112" s="40" t="str">
        <x:v>完成「RC 版本＋Review 紀錄」；能不用看稿說出核心原理；能指出至少一個錯誤、限制或安全注意事項。</x:v>
      </x:c>
      <x:c r="P112" s="40" t="str">
        <x:v>R14</x:v>
      </x:c>
      <x:c r="Q112" s="40" t="str">
        <x:v>https://skills.github.com/</x:v>
      </x:c>
      <x:c r="R112" s="40" t="str">
        <x:v>請孩子回答：1. Code Review 與 Release Candidate在解決什麼？2. 我怎麼做？3. 哪裡容易錯？4. 生活中哪裡會用到？</x:v>
      </x:c>
      <x:c r="S112" s="40" t="str">
        <x:v>父子科技課 #111｜Code Review 與 Release Candidate</x:v>
      </x:c>
      <x:c r="T112" s="40" t="n">
        <x:v>4</x:v>
      </x:c>
      <x:c r="U112" s="38" t="str">
        <x:v>Code Review 與 Release Candidate Git GitHub software engineering testing beginner tutorial GitHub</x:v>
      </x:c>
      <x:c r="V112" s="38" t="str">
        <x:v>https://www.youtube.com/results?search_query=Code+Review+%E8%88%87+Release+Candidate+Git+GitHub+software+engineering+testing+beginner+tutorial+GitHub</x:v>
      </x:c>
      <x:c r="W112" s="38" t="str">
        <x:v>課前暖身</x:v>
      </x:c>
      <x:c r="X112" s="38" t="str">
        <x:v>Code Review 與 Release Candidate 從正確性、可讀性、測試、安全與文件審查 hands on project for kids Git GitHub software</x:v>
      </x:c>
      <x:c r="Y112" s="38" t="str">
        <x:v>https://www.youtube.com/results?search_query=Code+Review+%E8%88%87+Release+Candidate+%E5%BE%9E%E6%AD%A3%E7%A2%BA%E6%80%A7%E3%80%81%E5%8F%AF%E8%AE%80%E6%80%A7%E3%80%81%E6%B8%AC%E8%A9%A6%E3%80%81%E5%AE%89%E5%85%A8%E8%88%87%E6%96%87%E4%BB%B6%E5%AF%A9%E6%9F%A5+hands+on+project+for+kids+Git+GitHub+software+engineering+testing</x:v>
      </x:c>
      <x:c r="Z112" s="38" t="str">
        <x:v>課中實作參考</x:v>
      </x:c>
      <x:c r="AA112" s="38" t="str">
        <x:v>Code Review 與 Release Candidate 中文 教學 原理 安全 親子 Git GitHub software engineering</x:v>
      </x:c>
      <x:c r="AB112" s="38" t="str">
        <x:v>https://www.youtube.com/results?search_query=Code+Review+%E8%88%87+Release+Candidate+%E4%B8%AD%E6%96%87+%E6%95%99%E5%AD%B8+%E5%8E%9F%E7%90%86+%E5%AE%89%E5%85%A8+%E8%A6%AA%E5%AD%90+Git+GitHub+software+engineering+testing</x:v>
      </x:c>
      <x:c r="AC112" s="38" t="str">
        <x:v>課後延伸／親子討論</x:v>
      </x:c>
    </x:row>
    <x:row r="113" ht="105" customHeight="1">
      <x:c r="A113" s="40" t="n">
        <x:v>112</x:v>
      </x:c>
      <x:c r="B113" s="40" t="str">
        <x:v>第 3 年</x:v>
      </x:c>
      <x:c r="C113" s="40" t="str">
        <x:v>M07 Python 進階、Git 與軟體工程</x:v>
      </x:c>
      <x:c r="D113" s="40" t="n">
        <x:v>16</x:v>
      </x:c>
      <x:c r="E113" s="40" t="str">
        <x:v>發布 v1.0 與回顧</x:v>
      </x:c>
      <x:c r="F113" s="40" t="str">
        <x:v>CLI／Git／GitHub／測試／軟體設計</x:v>
      </x:c>
      <x:c r="G113" s="40" t="str">
        <x:v>建立 tag、版本說明、安裝步驟與後續 Roadmap</x:v>
      </x:c>
      <x:c r="H113" s="40" t="str">
        <x:v>00–10 任務開場：發布 v1.0 與回顧
10–25 概念示範：建立 tag、版本說明、安裝步驟與後續 Roadmap
25–65 父子共同實作：錄製 Demo，整理三個技術債與下一版方向
65–75 休息／走動／聊天
75–105 孩子獨立改造：增加一個自選規則或功能
105–115 角色互換：孩子教爸爸操作與原理
115–120 錄音總結、作品命名、版本存檔</x:v>
      </x:c>
      <x:c r="I113" s="40" t="str">
        <x:v>錄製 Demo，整理三個技術債與下一版方向</x:v>
      </x:c>
      <x:c r="J113" s="40" t="str">
        <x:v>Release 任務</x:v>
      </x:c>
      <x:c r="K113" s="40" t="str">
        <x:v>CLI v1.0＋Release Notes</x:v>
      </x:c>
      <x:c r="L113" s="40" t="str">
        <x:v>工程紀律</x:v>
      </x:c>
      <x:c r="M113" s="40" t="str">
        <x:v>確認 Git、GitHub、Terminal；使用練習 repo，避免操作重要檔案。</x:v>
      </x:c>
      <x:c r="N113" s="40" t="str">
        <x:v>15–30 分鐘自由改造；寫三句學習日誌：我做了什麼、哪裡卡住、下次想加什麼。</x:v>
      </x:c>
      <x:c r="O113" s="40" t="str">
        <x:v>完成「CLI v1.0＋Release Notes」；能不用看稿說出核心原理；能指出至少一個錯誤、限制或安全注意事項。</x:v>
      </x:c>
      <x:c r="P113" s="40" t="str">
        <x:v>R14</x:v>
      </x:c>
      <x:c r="Q113" s="40" t="str">
        <x:v>https://skills.github.com/</x:v>
      </x:c>
      <x:c r="R113" s="40" t="str">
        <x:v>請孩子回答：1. 發布 v1.0 與回顧在解決什麼？2. 我怎麼做？3. 哪裡容易錯？4. 生活中哪裡會用到？</x:v>
      </x:c>
      <x:c r="S113" s="40" t="str">
        <x:v>父子科技課 #112｜發布 v1.0 與回顧</x:v>
      </x:c>
      <x:c r="T113" s="40" t="n">
        <x:v>4</x:v>
      </x:c>
      <x:c r="U113" s="38" t="str">
        <x:v>發布 v1.0 與回顧 Git GitHub software engineering testing beginner tutorial GitHub</x:v>
      </x:c>
      <x:c r="V113" s="38" t="str">
        <x:v>https://www.youtube.com/results?search_query=%E7%99%BC%E5%B8%83+v1.0+%E8%88%87%E5%9B%9E%E9%A1%A7+Git+GitHub+software+engineering+testing+beginner+tutorial+GitHub</x:v>
      </x:c>
      <x:c r="W113" s="38" t="str">
        <x:v>課前暖身</x:v>
      </x:c>
      <x:c r="X113" s="38" t="str">
        <x:v>發布 v1.0 與回顧 建立 tag、版本說明、安裝步驟與後續 Roadmap hands on project for kids Git GitHub software</x:v>
      </x:c>
      <x:c r="Y113" s="38" t="str">
        <x:v>https://www.youtube.com/results?search_query=%E7%99%BC%E5%B8%83+v1.0+%E8%88%87%E5%9B%9E%E9%A1%A7+%E5%BB%BA%E7%AB%8B+tag%E3%80%81%E7%89%88%E6%9C%AC%E8%AA%AA%E6%98%8E%E3%80%81%E5%AE%89%E8%A3%9D%E6%AD%A5%E9%A9%9F%E8%88%87%E5%BE%8C%E7%BA%8C+Roadmap+hands+on+project+for+kids+Git+GitHub+software+engineering+testing</x:v>
      </x:c>
      <x:c r="Z113" s="38" t="str">
        <x:v>課中實作參考</x:v>
      </x:c>
      <x:c r="AA113" s="38" t="str">
        <x:v>發布 v1.0 與回顧 中文 教學 原理 安全 親子 Git GitHub software engineering testing</x:v>
      </x:c>
      <x:c r="AB113" s="38" t="str">
        <x:v>https://www.youtube.com/results?search_query=%E7%99%BC%E5%B8%83+v1.0+%E8%88%87%E5%9B%9E%E9%A1%A7+%E4%B8%AD%E6%96%87+%E6%95%99%E5%AD%B8+%E5%8E%9F%E7%90%86+%E5%AE%89%E5%85%A8+%E8%A6%AA%E5%AD%90+Git+GitHub+software+engineering+testing</x:v>
      </x:c>
      <x:c r="AC113" s="38" t="str">
        <x:v>課後延伸／親子討論</x:v>
      </x:c>
    </x:row>
    <x:row r="114" ht="105" customHeight="1">
      <x:c r="A114" s="40" t="n">
        <x:v>113</x:v>
      </x:c>
      <x:c r="B114" s="40" t="str">
        <x:v>第 3 年</x:v>
      </x:c>
      <x:c r="C114" s="40" t="str">
        <x:v>M08 資料科學與電池／能源探險</x:v>
      </x:c>
      <x:c r="D114" s="40" t="n">
        <x:v>1</x:v>
      </x:c>
      <x:c r="E114" s="40" t="str">
        <x:v>資料從哪裡來：量測就是提問</x:v>
      </x:c>
      <x:c r="F114" s="40" t="str">
        <x:v>資料分析／視覺化／電池／能源／異常偵測</x:v>
      </x:c>
      <x:c r="G114" s="40" t="str">
        <x:v>理解觀測值、欄位、單位、時間戳、樣本與紀錄目的</x:v>
      </x:c>
      <x:c r="H114" s="40" t="str">
        <x:v>00–10 任務開場：資料從哪裡來：量測就是提問
10–25 概念示範：理解觀測值、欄位、單位、時間戳、樣本與紀錄目的
25–65 父子共同實作：設計一張『房間舒適度』資料表並實際量 10 筆
65–75 休息／走動／聊天
75–105 孩子獨立改造：增加一個自選規則或功能
105–115 角色互換：孩子教爸爸操作與原理
115–120 錄音總結、作品命名、版本存檔</x:v>
      </x:c>
      <x:c r="I114" s="40" t="str">
        <x:v>設計一張『房間舒適度』資料表並實際量 10 筆</x:v>
      </x:c>
      <x:c r="J114" s="40" t="str">
        <x:v>資料偵探</x:v>
      </x:c>
      <x:c r="K114" s="40" t="str">
        <x:v>小型資料集</x:v>
      </x:c>
      <x:c r="L114" s="40" t="str">
        <x:v>科學思考</x:v>
      </x:c>
      <x:c r="M114" s="40" t="str">
        <x:v>準備匿名或模擬資料；先確認單位、欄位與可公開範圍。</x:v>
      </x:c>
      <x:c r="N114" s="40" t="str">
        <x:v>15–30 分鐘自由改造；寫三句學習日誌：我做了什麼、哪裡卡住、下次想加什麼。</x:v>
      </x:c>
      <x:c r="O114" s="40" t="str">
        <x:v>完成「小型資料集」；能不用看稿說出核心原理；能指出至少一個錯誤、限制或安全注意事項。</x:v>
      </x:c>
      <x:c r="P114" s="40" t="str">
        <x:v>R27</x:v>
      </x:c>
      <x:c r="Q114" s="40" t="str">
        <x:v>https://www.khanacademy.org/</x:v>
      </x:c>
      <x:c r="R114" s="40" t="str">
        <x:v>請孩子回答：1. 資料從哪裡來：量測就是提問在解決什麼？2. 我怎麼做？3. 哪裡容易錯？4. 生活中哪裡會用到？</x:v>
      </x:c>
      <x:c r="S114" s="40" t="str">
        <x:v>父子科技課 #113｜資料從哪裡來：量測就是提問</x:v>
      </x:c>
      <x:c r="T114" s="40" t="n">
        <x:v>3</x:v>
      </x:c>
      <x:c r="U114" s="38" t="str">
        <x:v>資料從哪裡來 量測就是提問 data science battery energy visualization beginner tutorial Khan</x:v>
      </x:c>
      <x:c r="V114" s="38" t="str">
        <x:v>https://www.youtube.com/results?search_query=%E8%B3%87%E6%96%99%E5%BE%9E%E5%93%AA%E8%A3%A1%E4%BE%86+%E9%87%8F%E6%B8%AC%E5%B0%B1%E6%98%AF%E6%8F%90%E5%95%8F+data+science+battery+energy+visualization+beginner+tutorial+Khan</x:v>
      </x:c>
      <x:c r="W114" s="38" t="str">
        <x:v>課前暖身</x:v>
      </x:c>
      <x:c r="X114" s="38" t="str">
        <x:v>資料從哪裡來 量測就是提問 理解觀測值、欄位、單位、時間戳、樣本與紀錄目的 hands on project for kids data science battery energy visualization</x:v>
      </x:c>
      <x:c r="Y114" s="38" t="str">
        <x:v>https://www.youtube.com/results?search_query=%E8%B3%87%E6%96%99%E5%BE%9E%E5%93%AA%E8%A3%A1%E4%BE%86+%E9%87%8F%E6%B8%AC%E5%B0%B1%E6%98%AF%E6%8F%90%E5%95%8F+%E7%90%86%E8%A7%A3%E8%A7%80%E6%B8%AC%E5%80%BC%E3%80%81%E6%AC%84%E4%BD%8D%E3%80%81%E5%96%AE%E4%BD%8D%E3%80%81%E6%99%82%E9%96%93%E6%88%B3%E3%80%81%E6%A8%A3%E6%9C%AC%E8%88%87%E7%B4%80%E9%8C%84%E7%9B%AE%E7%9A%84+hands+on+project+for+kids+data+science+battery+energy+visualization</x:v>
      </x:c>
      <x:c r="Z114" s="38" t="str">
        <x:v>課中實作參考</x:v>
      </x:c>
      <x:c r="AA114" s="38" t="str">
        <x:v>資料從哪裡來 量測就是提問 中文 教學 原理 安全 親子 data science battery energy visualization</x:v>
      </x:c>
      <x:c r="AB114" s="38" t="str">
        <x:v>https://www.youtube.com/results?search_query=%E8%B3%87%E6%96%99%E5%BE%9E%E5%93%AA%E8%A3%A1%E4%BE%86+%E9%87%8F%E6%B8%AC%E5%B0%B1%E6%98%AF%E6%8F%90%E5%95%8F+%E4%B8%AD%E6%96%87+%E6%95%99%E5%AD%B8+%E5%8E%9F%E7%90%86+%E5%AE%89%E5%85%A8+%E8%A6%AA%E5%AD%90+data+science+battery+energy+visualization</x:v>
      </x:c>
      <x:c r="AC114" s="38" t="str">
        <x:v>課後延伸／親子討論</x:v>
      </x:c>
    </x:row>
    <x:row r="115" ht="105" customHeight="1">
      <x:c r="A115" s="40" t="n">
        <x:v>114</x:v>
      </x:c>
      <x:c r="B115" s="40" t="str">
        <x:v>第 3 年</x:v>
      </x:c>
      <x:c r="C115" s="40" t="str">
        <x:v>M08 資料科學與電池／能源探險</x:v>
      </x:c>
      <x:c r="D115" s="40" t="n">
        <x:v>2</x:v>
      </x:c>
      <x:c r="E115" s="40" t="str">
        <x:v>CSV 與表格：機器喜歡整齊</x:v>
      </x:c>
      <x:c r="F115" s="40" t="str">
        <x:v>資料分析／視覺化／電池／能源／異常偵測</x:v>
      </x:c>
      <x:c r="G115" s="40" t="str">
        <x:v>理解列、欄、header、缺值、編碼與資料型態</x:v>
      </x:c>
      <x:c r="H115" s="40" t="str">
        <x:v>00–10 任務開場：CSV 與表格：機器喜歡整齊
10–25 概念示範：理解列、欄、header、缺值、編碼與資料型態
25–65 父子共同實作：把一份故意弄亂的資料修成可讀 CSV
65–75 休息／走動／聊天
75–105 孩子獨立改造：增加一個自選規則或功能
105–115 角色互換：孩子教爸爸操作與原理
115–120 錄音總結、作品命名、版本存檔</x:v>
      </x:c>
      <x:c r="I115" s="40" t="str">
        <x:v>把一份故意弄亂的資料修成可讀 CSV</x:v>
      </x:c>
      <x:c r="J115" s="40" t="str">
        <x:v>圖表抓鬼</x:v>
      </x:c>
      <x:c r="K115" s="40" t="str">
        <x:v>clean_data.csv</x:v>
      </x:c>
      <x:c r="L115" s="40" t="str">
        <x:v>科學思考</x:v>
      </x:c>
      <x:c r="M115" s="40" t="str">
        <x:v>準備匿名或模擬資料；先確認單位、欄位與可公開範圍。</x:v>
      </x:c>
      <x:c r="N115" s="40" t="str">
        <x:v>15–30 分鐘自由改造；寫三句學習日誌：我做了什麼、哪裡卡住、下次想加什麼。</x:v>
      </x:c>
      <x:c r="O115" s="40" t="str">
        <x:v>完成「clean_data.csv」；能不用看稿說出核心原理；能指出至少一個錯誤、限制或安全注意事項。</x:v>
      </x:c>
      <x:c r="P115" s="40" t="str">
        <x:v>R16</x:v>
      </x:c>
      <x:c r="Q115" s="40" t="str">
        <x:v>https://docs.python.org/3/tutorial/index.html</x:v>
      </x:c>
      <x:c r="R115" s="40" t="str">
        <x:v>請孩子回答：1. CSV 與表格：機器喜歡整齊在解決什麼？2. 我怎麼做？3. 哪裡容易錯？4. 生活中哪裡會用到？</x:v>
      </x:c>
      <x:c r="S115" s="40" t="str">
        <x:v>父子科技課 #114｜CSV 與表格：機器喜歡整齊</x:v>
      </x:c>
      <x:c r="T115" s="40" t="n">
        <x:v>3</x:v>
      </x:c>
      <x:c r="U115" s="38" t="str">
        <x:v>CSV 與表格 機器喜歡整齊 data science battery energy visualization beginner tutorial Khan</x:v>
      </x:c>
      <x:c r="V115" s="38" t="str">
        <x:v>https://www.youtube.com/results?search_query=CSV+%E8%88%87%E8%A1%A8%E6%A0%BC+%E6%A9%9F%E5%99%A8%E5%96%9C%E6%AD%A1%E6%95%B4%E9%BD%8A+data+science+battery+energy+visualization+beginner+tutorial+Khan</x:v>
      </x:c>
      <x:c r="W115" s="38" t="str">
        <x:v>課前暖身</x:v>
      </x:c>
      <x:c r="X115" s="38" t="str">
        <x:v>CSV 與表格 機器喜歡整齊 理解列、欄、header、缺值、編碼與資料型態 hands on project for kids data science battery energy visualization</x:v>
      </x:c>
      <x:c r="Y115" s="38" t="str">
        <x:v>https://www.youtube.com/results?search_query=CSV+%E8%88%87%E8%A1%A8%E6%A0%BC+%E6%A9%9F%E5%99%A8%E5%96%9C%E6%AD%A1%E6%95%B4%E9%BD%8A+%E7%90%86%E8%A7%A3%E5%88%97%E3%80%81%E6%AC%84%E3%80%81header%E3%80%81%E7%BC%BA%E5%80%BC%E3%80%81%E7%B7%A8%E7%A2%BC%E8%88%87%E8%B3%87%E6%96%99%E5%9E%8B%E6%85%8B+hands+on+project+for+kids+data+science+battery+energy+visualization</x:v>
      </x:c>
      <x:c r="Z115" s="38" t="str">
        <x:v>課中實作參考</x:v>
      </x:c>
      <x:c r="AA115" s="38" t="str">
        <x:v>CSV 與表格 機器喜歡整齊 中文 教學 原理 安全 親子 data science battery energy visualization</x:v>
      </x:c>
      <x:c r="AB115" s="38" t="str">
        <x:v>https://www.youtube.com/results?search_query=CSV+%E8%88%87%E8%A1%A8%E6%A0%BC+%E6%A9%9F%E5%99%A8%E5%96%9C%E6%AD%A1%E6%95%B4%E9%BD%8A+%E4%B8%AD%E6%96%87+%E6%95%99%E5%AD%B8+%E5%8E%9F%E7%90%86+%E5%AE%89%E5%85%A8+%E8%A6%AA%E5%AD%90+data+science+battery+energy+visualization</x:v>
      </x:c>
      <x:c r="AC115" s="38" t="str">
        <x:v>課後延伸／親子討論</x:v>
      </x:c>
    </x:row>
    <x:row r="116" ht="105" customHeight="1">
      <x:c r="A116" s="40" t="n">
        <x:v>115</x:v>
      </x:c>
      <x:c r="B116" s="40" t="str">
        <x:v>第 3 年</x:v>
      </x:c>
      <x:c r="C116" s="40" t="str">
        <x:v>M08 資料科學與電池／能源探險</x:v>
      </x:c>
      <x:c r="D116" s="40" t="n">
        <x:v>3</x:v>
      </x:c>
      <x:c r="E116" s="40" t="str">
        <x:v>試算表公式：讓資料自己算</x:v>
      </x:c>
      <x:c r="F116" s="40" t="str">
        <x:v>資料分析／視覺化／電池／能源／異常偵測</x:v>
      </x:c>
      <x:c r="G116" s="40" t="str">
        <x:v>使用加總、平均、條件與相對/絕對參照</x:v>
      </x:c>
      <x:c r="H116" s="40" t="str">
        <x:v>00–10 任務開場：試算表公式：讓資料自己算
10–25 概念示範：使用加總、平均、條件與相對/絕對參照
25–65 父子共同實作：建立零用錢或用電紀錄表，自動計算週統計
65–75 休息／走動／聊天
75–105 孩子獨立改造：增加一個自選規則或功能
105–115 角色互換：孩子教爸爸操作與原理
115–120 錄音總結、作品命名、版本存檔</x:v>
      </x:c>
      <x:c r="I116" s="40" t="str">
        <x:v>建立零用錢或用電紀錄表，自動計算週統計</x:v>
      </x:c>
      <x:c r="J116" s="40" t="str">
        <x:v>科學實驗</x:v>
      </x:c>
      <x:c r="K116" s="40" t="str">
        <x:v>公式化試算表</x:v>
      </x:c>
      <x:c r="L116" s="40" t="str">
        <x:v>科學思考</x:v>
      </x:c>
      <x:c r="M116" s="40" t="str">
        <x:v>準備匿名或模擬資料；先確認單位、欄位與可公開範圍。</x:v>
      </x:c>
      <x:c r="N116" s="40" t="str">
        <x:v>15–30 分鐘自由改造；寫三句學習日誌：我做了什麼、哪裡卡住、下次想加什麼。</x:v>
      </x:c>
      <x:c r="O116" s="40" t="str">
        <x:v>完成「公式化試算表」；能不用看稿說出核心原理；能指出至少一個錯誤、限制或安全注意事項。</x:v>
      </x:c>
      <x:c r="P116" s="40" t="str">
        <x:v>R27</x:v>
      </x:c>
      <x:c r="Q116" s="40" t="str">
        <x:v>https://www.khanacademy.org/</x:v>
      </x:c>
      <x:c r="R116" s="40" t="str">
        <x:v>請孩子回答：1. 試算表公式：讓資料自己算在解決什麼？2. 我怎麼做？3. 哪裡容易錯？4. 生活中哪裡會用到？</x:v>
      </x:c>
      <x:c r="S116" s="40" t="str">
        <x:v>父子科技課 #115｜試算表公式：讓資料自己算</x:v>
      </x:c>
      <x:c r="T116" s="40" t="n">
        <x:v>3</x:v>
      </x:c>
      <x:c r="U116" s="38" t="str">
        <x:v>試算表公式 讓資料自己算 data science battery energy visualization beginner tutorial Khan</x:v>
      </x:c>
      <x:c r="V116" s="38" t="str">
        <x:v>https://www.youtube.com/results?search_query=%E8%A9%A6%E7%AE%97%E8%A1%A8%E5%85%AC%E5%BC%8F+%E8%AE%93%E8%B3%87%E6%96%99%E8%87%AA%E5%B7%B1%E7%AE%97+data+science+battery+energy+visualization+beginner+tutorial+Khan</x:v>
      </x:c>
      <x:c r="W116" s="38" t="str">
        <x:v>課前暖身</x:v>
      </x:c>
      <x:c r="X116" s="38" t="str">
        <x:v>試算表公式 讓資料自己算 使用加總、平均、條件與相對/絕對參照 hands on project for kids data science battery energy visualization</x:v>
      </x:c>
      <x:c r="Y116" s="38" t="str">
        <x:v>https://www.youtube.com/results?search_query=%E8%A9%A6%E7%AE%97%E8%A1%A8%E5%85%AC%E5%BC%8F+%E8%AE%93%E8%B3%87%E6%96%99%E8%87%AA%E5%B7%B1%E7%AE%97+%E4%BD%BF%E7%94%A8%E5%8A%A0%E7%B8%BD%E3%80%81%E5%B9%B3%E5%9D%87%E3%80%81%E6%A2%9D%E4%BB%B6%E8%88%87%E7%9B%B8%E5%B0%8D%2F%E7%B5%95%E5%B0%8D%E5%8F%83%E7%85%A7+hands+on+project+for+kids+data+science+battery+energy+visualization</x:v>
      </x:c>
      <x:c r="Z116" s="38" t="str">
        <x:v>課中實作參考</x:v>
      </x:c>
      <x:c r="AA116" s="38" t="str">
        <x:v>試算表公式 讓資料自己算 中文 教學 原理 安全 親子 data science battery energy visualization</x:v>
      </x:c>
      <x:c r="AB116" s="38" t="str">
        <x:v>https://www.youtube.com/results?search_query=%E8%A9%A6%E7%AE%97%E8%A1%A8%E5%85%AC%E5%BC%8F+%E8%AE%93%E8%B3%87%E6%96%99%E8%87%AA%E5%B7%B1%E7%AE%97+%E4%B8%AD%E6%96%87+%E6%95%99%E5%AD%B8+%E5%8E%9F%E7%90%86+%E5%AE%89%E5%85%A8+%E8%A6%AA%E5%AD%90+data+science+battery+energy+visualization</x:v>
      </x:c>
      <x:c r="AC116" s="38" t="str">
        <x:v>課後延伸／親子討論</x:v>
      </x:c>
    </x:row>
    <x:row r="117" ht="105" customHeight="1">
      <x:c r="A117" s="40" t="n">
        <x:v>116</x:v>
      </x:c>
      <x:c r="B117" s="40" t="str">
        <x:v>第 3 年</x:v>
      </x:c>
      <x:c r="C117" s="40" t="str">
        <x:v>M08 資料科學與電池／能源探險</x:v>
      </x:c>
      <x:c r="D117" s="40" t="n">
        <x:v>4</x:v>
      </x:c>
      <x:c r="E117" s="40" t="str">
        <x:v>平均數不是唯一答案</x:v>
      </x:c>
      <x:c r="F117" s="40" t="str">
        <x:v>資料分析／視覺化／電池／能源／異常偵測</x:v>
      </x:c>
      <x:c r="G117" s="40" t="str">
        <x:v>理解 mean、median、min、max、range 與離群值</x:v>
      </x:c>
      <x:c r="H117" s="40" t="str">
        <x:v>00–10 任務開場：平均數不是唯一答案
10–25 概念示範：理解 mean、median、min、max、range 與離群值
25–65 父子共同實作：用『班上身高＋巨人』故事觀察平均數被拉動
65–75 休息／走動／聊天
75–105 孩子獨立改造：增加一個自選規則或功能
105–115 角色互換：孩子教爸爸操作與原理
115–120 錄音總結、作品命名、版本存檔</x:v>
      </x:c>
      <x:c r="I117" s="40" t="str">
        <x:v>用『班上身高＋巨人』故事觀察平均數被拉動</x:v>
      </x:c>
      <x:c r="J117" s="40" t="str">
        <x:v>工程答辯</x:v>
      </x:c>
      <x:c r="K117" s="40" t="str">
        <x:v>描述統計卡</x:v>
      </x:c>
      <x:c r="L117" s="40" t="str">
        <x:v>科學思考</x:v>
      </x:c>
      <x:c r="M117" s="40" t="str">
        <x:v>準備匿名或模擬資料；先確認單位、欄位與可公開範圍。</x:v>
      </x:c>
      <x:c r="N117" s="40" t="str">
        <x:v>15–30 分鐘自由改造；寫三句學習日誌：我做了什麼、哪裡卡住、下次想加什麼。</x:v>
      </x:c>
      <x:c r="O117" s="40" t="str">
        <x:v>完成「描述統計卡」；能不用看稿說出核心原理；能指出至少一個錯誤、限制或安全注意事項。</x:v>
      </x:c>
      <x:c r="P117" s="40" t="str">
        <x:v>R27</x:v>
      </x:c>
      <x:c r="Q117" s="40" t="str">
        <x:v>https://www.khanacademy.org/</x:v>
      </x:c>
      <x:c r="R117" s="40" t="str">
        <x:v>請孩子回答：1. 平均數不是唯一答案在解決什麼？2. 我怎麼做？3. 哪裡容易錯？4. 生活中哪裡會用到？</x:v>
      </x:c>
      <x:c r="S117" s="40" t="str">
        <x:v>父子科技課 #116｜平均數不是唯一答案</x:v>
      </x:c>
      <x:c r="T117" s="40" t="n">
        <x:v>3</x:v>
      </x:c>
      <x:c r="U117" s="38" t="str">
        <x:v>平均數不是唯一答案 data science battery energy visualization beginner tutorial Khan</x:v>
      </x:c>
      <x:c r="V117" s="38" t="str">
        <x:v>https://www.youtube.com/results?search_query=%E5%B9%B3%E5%9D%87%E6%95%B8%E4%B8%8D%E6%98%AF%E5%94%AF%E4%B8%80%E7%AD%94%E6%A1%88+data+science+battery+energy+visualization+beginner+tutorial+Khan</x:v>
      </x:c>
      <x:c r="W117" s="38" t="str">
        <x:v>課前暖身</x:v>
      </x:c>
      <x:c r="X117" s="38" t="str">
        <x:v>平均數不是唯一答案 理解 mean、median、min、max、range 與離群值 hands on project for kids data science battery energy visualization</x:v>
      </x:c>
      <x:c r="Y117" s="38" t="str">
        <x:v>https://www.youtube.com/results?search_query=%E5%B9%B3%E5%9D%87%E6%95%B8%E4%B8%8D%E6%98%AF%E5%94%AF%E4%B8%80%E7%AD%94%E6%A1%88+%E7%90%86%E8%A7%A3+mean%E3%80%81median%E3%80%81min%E3%80%81max%E3%80%81range+%E8%88%87%E9%9B%A2%E7%BE%A4%E5%80%BC+hands+on+project+for+kids+data+science+battery+energy+visualization</x:v>
      </x:c>
      <x:c r="Z117" s="38" t="str">
        <x:v>課中實作參考</x:v>
      </x:c>
      <x:c r="AA117" s="38" t="str">
        <x:v>平均數不是唯一答案 中文 教學 原理 安全 親子 data science battery energy visualization</x:v>
      </x:c>
      <x:c r="AB117" s="38" t="str">
        <x:v>https://www.youtube.com/results?search_query=%E5%B9%B3%E5%9D%87%E6%95%B8%E4%B8%8D%E6%98%AF%E5%94%AF%E4%B8%80%E7%AD%94%E6%A1%88+%E4%B8%AD%E6%96%87+%E6%95%99%E5%AD%B8+%E5%8E%9F%E7%90%86+%E5%AE%89%E5%85%A8+%E8%A6%AA%E5%AD%90+data+science+battery+energy+visualization</x:v>
      </x:c>
      <x:c r="AC117" s="38" t="str">
        <x:v>課後延伸／親子討論</x:v>
      </x:c>
    </x:row>
    <x:row r="118" ht="105" customHeight="1">
      <x:c r="A118" s="40" t="n">
        <x:v>117</x:v>
      </x:c>
      <x:c r="B118" s="40" t="str">
        <x:v>第 3 年</x:v>
      </x:c>
      <x:c r="C118" s="40" t="str">
        <x:v>M08 資料科學與電池／能源探險</x:v>
      </x:c>
      <x:c r="D118" s="40" t="n">
        <x:v>5</x:v>
      </x:c>
      <x:c r="E118" s="40" t="str">
        <x:v>圖表會說話，也會騙人</x:v>
      </x:c>
      <x:c r="F118" s="40" t="str">
        <x:v>資料分析／視覺化／電池／能源／異常偵測</x:v>
      </x:c>
      <x:c r="G118" s="40" t="str">
        <x:v>選擇折線、長條、散點圖並辨識截斷座標與誤導</x:v>
      </x:c>
      <x:c r="H118" s="40" t="str">
        <x:v>00–10 任務開場：圖表會說話，也會騙人
10–25 概念示範：選擇折線、長條、散點圖並辨識截斷座標與誤導
25–65 父子共同實作：重畫兩張誤導圖表，說明修改原因
65–75 休息／走動／聊天
75–105 孩子獨立改造：增加一個自選規則或功能
105–115 角色互換：孩子教爸爸操作與原理
115–120 錄音總結、作品命名、版本存檔</x:v>
      </x:c>
      <x:c r="I118" s="40" t="str">
        <x:v>重畫兩張誤導圖表，說明修改原因</x:v>
      </x:c>
      <x:c r="J118" s="40" t="str">
        <x:v>資料偵探</x:v>
      </x:c>
      <x:c r="K118" s="40" t="str">
        <x:v>圖表判讀報告</x:v>
      </x:c>
      <x:c r="L118" s="40" t="str">
        <x:v>科學思考</x:v>
      </x:c>
      <x:c r="M118" s="40" t="str">
        <x:v>準備匿名或模擬資料；先確認單位、欄位與可公開範圍。</x:v>
      </x:c>
      <x:c r="N118" s="40" t="str">
        <x:v>15–30 分鐘自由改造；寫三句學習日誌：我做了什麼、哪裡卡住、下次想加什麼。</x:v>
      </x:c>
      <x:c r="O118" s="40" t="str">
        <x:v>完成「圖表判讀報告」；能不用看稿說出核心原理；能指出至少一個錯誤、限制或安全注意事項。</x:v>
      </x:c>
      <x:c r="P118" s="40" t="str">
        <x:v>R27</x:v>
      </x:c>
      <x:c r="Q118" s="40" t="str">
        <x:v>https://www.khanacademy.org/</x:v>
      </x:c>
      <x:c r="R118" s="40" t="str">
        <x:v>請孩子回答：1. 圖表會說話，也會騙人在解決什麼？2. 我怎麼做？3. 哪裡容易錯？4. 生活中哪裡會用到？</x:v>
      </x:c>
      <x:c r="S118" s="40" t="str">
        <x:v>父子科技課 #117｜圖表會說話，也會騙人</x:v>
      </x:c>
      <x:c r="T118" s="40" t="n">
        <x:v>3</x:v>
      </x:c>
      <x:c r="U118" s="38" t="str">
        <x:v>圖表會說話，也會騙人 data science battery energy visualization beginner tutorial Khan</x:v>
      </x:c>
      <x:c r="V118" s="38" t="str">
        <x:v>https://www.youtube.com/results?search_query=%E5%9C%96%E8%A1%A8%E6%9C%83%E8%AA%AA%E8%A9%B1%EF%BC%8C%E4%B9%9F%E6%9C%83%E9%A8%99%E4%BA%BA+data+science+battery+energy+visualization+beginner+tutorial+Khan</x:v>
      </x:c>
      <x:c r="W118" s="38" t="str">
        <x:v>課前暖身</x:v>
      </x:c>
      <x:c r="X118" s="38" t="str">
        <x:v>圖表會說話，也會騙人 選擇折線、長條、散點圖並辨識截斷座標與誤導 hands on project for kids data science battery energy visualization</x:v>
      </x:c>
      <x:c r="Y118" s="38" t="str">
        <x:v>https://www.youtube.com/results?search_query=%E5%9C%96%E8%A1%A8%E6%9C%83%E8%AA%AA%E8%A9%B1%EF%BC%8C%E4%B9%9F%E6%9C%83%E9%A8%99%E4%BA%BA+%E9%81%B8%E6%93%87%E6%8A%98%E7%B7%9A%E3%80%81%E9%95%B7%E6%A2%9D%E3%80%81%E6%95%A3%E9%BB%9E%E5%9C%96%E4%B8%A6%E8%BE%A8%E8%AD%98%E6%88%AA%E6%96%B7%E5%BA%A7%E6%A8%99%E8%88%87%E8%AA%A4%E5%B0%8E+hands+on+project+for+kids+data+science+battery+energy+visualization</x:v>
      </x:c>
      <x:c r="Z118" s="38" t="str">
        <x:v>課中實作參考</x:v>
      </x:c>
      <x:c r="AA118" s="38" t="str">
        <x:v>圖表會說話，也會騙人 中文 教學 原理 安全 親子 data science battery energy visualization</x:v>
      </x:c>
      <x:c r="AB118" s="38" t="str">
        <x:v>https://www.youtube.com/results?search_query=%E5%9C%96%E8%A1%A8%E6%9C%83%E8%AA%AA%E8%A9%B1%EF%BC%8C%E4%B9%9F%E6%9C%83%E9%A8%99%E4%BA%BA+%E4%B8%AD%E6%96%87+%E6%95%99%E5%AD%B8+%E5%8E%9F%E7%90%86+%E5%AE%89%E5%85%A8+%E8%A6%AA%E5%AD%90+data+science+battery+energy+visualization</x:v>
      </x:c>
      <x:c r="AC118" s="38" t="str">
        <x:v>課後延伸／親子討論</x:v>
      </x:c>
    </x:row>
    <x:row r="119" ht="105" customHeight="1">
      <x:c r="A119" s="40" t="n">
        <x:v>118</x:v>
      </x:c>
      <x:c r="B119" s="40" t="str">
        <x:v>第 3 年</x:v>
      </x:c>
      <x:c r="C119" s="40" t="str">
        <x:v>M08 資料科學與電池／能源探險</x:v>
      </x:c>
      <x:c r="D119" s="40" t="n">
        <x:v>6</x:v>
      </x:c>
      <x:c r="E119" s="40" t="str">
        <x:v>相關不等於因果</x:v>
      </x:c>
      <x:c r="F119" s="40" t="str">
        <x:v>資料分析／視覺化／電池／能源／異常偵測</x:v>
      </x:c>
      <x:c r="G119" s="40" t="str">
        <x:v>理解共同原因、巧合、反向因果與實驗設計</x:v>
      </x:c>
      <x:c r="H119" s="40" t="str">
        <x:v>00–10 任務開場：相關不等於因果
10–25 概念示範：理解共同原因、巧合、反向因果與實驗設計
25–65 父子共同實作：分析冰淇淋與溺水等案例，提出可能第三變因
65–75 休息／走動／聊天
75–105 孩子獨立改造：增加一個自選規則或功能
105–115 角色互換：孩子教爸爸操作與原理
115–120 錄音總結、作品命名、版本存檔</x:v>
      </x:c>
      <x:c r="I119" s="40" t="str">
        <x:v>分析冰淇淋與溺水等案例，提出可能第三變因</x:v>
      </x:c>
      <x:c r="J119" s="40" t="str">
        <x:v>圖表抓鬼</x:v>
      </x:c>
      <x:c r="K119" s="40" t="str">
        <x:v>因果偵探卡</x:v>
      </x:c>
      <x:c r="L119" s="40" t="str">
        <x:v>資訊判讀</x:v>
      </x:c>
      <x:c r="M119" s="40" t="str">
        <x:v>準備匿名或模擬資料；先確認單位、欄位與可公開範圍。</x:v>
      </x:c>
      <x:c r="N119" s="40" t="str">
        <x:v>15–30 分鐘自由改造；寫三句學習日誌：我做了什麼、哪裡卡住、下次想加什麼。</x:v>
      </x:c>
      <x:c r="O119" s="40" t="str">
        <x:v>完成「因果偵探卡」；能不用看稿說出核心原理；能指出至少一個錯誤、限制或安全注意事項。</x:v>
      </x:c>
      <x:c r="P119" s="40" t="str">
        <x:v>R27</x:v>
      </x:c>
      <x:c r="Q119" s="40" t="str">
        <x:v>https://www.khanacademy.org/</x:v>
      </x:c>
      <x:c r="R119" s="40" t="str">
        <x:v>請孩子回答：1. 相關不等於因果在解決什麼？2. 我怎麼做？3. 哪裡容易錯？4. 生活中哪裡會用到？</x:v>
      </x:c>
      <x:c r="S119" s="40" t="str">
        <x:v>父子科技課 #118｜相關不等於因果</x:v>
      </x:c>
      <x:c r="T119" s="40" t="n">
        <x:v>3</x:v>
      </x:c>
      <x:c r="U119" s="38" t="str">
        <x:v>相關不等於因果 data science battery energy visualization beginner tutorial Khan</x:v>
      </x:c>
      <x:c r="V119" s="38" t="str">
        <x:v>https://www.youtube.com/results?search_query=%E7%9B%B8%E9%97%9C%E4%B8%8D%E7%AD%89%E6%96%BC%E5%9B%A0%E6%9E%9C+data+science+battery+energy+visualization+beginner+tutorial+Khan</x:v>
      </x:c>
      <x:c r="W119" s="38" t="str">
        <x:v>課前暖身</x:v>
      </x:c>
      <x:c r="X119" s="38" t="str">
        <x:v>相關不等於因果 理解共同原因、巧合、反向因果與實驗設計 hands on project for kids data science battery energy visualization</x:v>
      </x:c>
      <x:c r="Y119" s="38" t="str">
        <x:v>https://www.youtube.com/results?search_query=%E7%9B%B8%E9%97%9C%E4%B8%8D%E7%AD%89%E6%96%BC%E5%9B%A0%E6%9E%9C+%E7%90%86%E8%A7%A3%E5%85%B1%E5%90%8C%E5%8E%9F%E5%9B%A0%E3%80%81%E5%B7%A7%E5%90%88%E3%80%81%E5%8F%8D%E5%90%91%E5%9B%A0%E6%9E%9C%E8%88%87%E5%AF%A6%E9%A9%97%E8%A8%AD%E8%A8%88+hands+on+project+for+kids+data+science+battery+energy+visualization</x:v>
      </x:c>
      <x:c r="Z119" s="38" t="str">
        <x:v>課中實作參考</x:v>
      </x:c>
      <x:c r="AA119" s="38" t="str">
        <x:v>相關不等於因果 中文 教學 原理 安全 親子 data science battery energy visualization</x:v>
      </x:c>
      <x:c r="AB119" s="38" t="str">
        <x:v>https://www.youtube.com/results?search_query=%E7%9B%B8%E9%97%9C%E4%B8%8D%E7%AD%89%E6%96%BC%E5%9B%A0%E6%9E%9C+%E4%B8%AD%E6%96%87+%E6%95%99%E5%AD%B8+%E5%8E%9F%E7%90%86+%E5%AE%89%E5%85%A8+%E8%A6%AA%E5%AD%90+data+science+battery+energy+visualization</x:v>
      </x:c>
      <x:c r="AC119" s="38" t="str">
        <x:v>課後延伸／親子討論</x:v>
      </x:c>
    </x:row>
    <x:row r="120" ht="105" customHeight="1">
      <x:c r="A120" s="40" t="n">
        <x:v>119</x:v>
      </x:c>
      <x:c r="B120" s="40" t="str">
        <x:v>第 3 年</x:v>
      </x:c>
      <x:c r="C120" s="40" t="str">
        <x:v>M08 資料科學與電池／能源探險</x:v>
      </x:c>
      <x:c r="D120" s="40" t="n">
        <x:v>7</x:v>
      </x:c>
      <x:c r="E120" s="40" t="str">
        <x:v>感測雜訊與移動平均</x:v>
      </x:c>
      <x:c r="F120" s="40" t="str">
        <x:v>資料分析／視覺化／電池／能源／異常偵測</x:v>
      </x:c>
      <x:c r="G120" s="40" t="str">
        <x:v>理解雜訊、平滑、反應速度與資訊損失</x:v>
      </x:c>
      <x:c r="H120" s="40" t="str">
        <x:v>00–10 任務開場：感測雜訊與移動平均
10–25 概念示範：理解雜訊、平滑、反應速度與資訊損失
25–65 父子共同實作：對溫度或電壓資料套不同窗口移動平均比較
65–75 休息／走動／聊天
75–105 孩子獨立改造：增加一個自選規則或功能
105–115 角色互換：孩子教爸爸操作與原理
115–120 錄音總結、作品命名、版本存檔</x:v>
      </x:c>
      <x:c r="I120" s="40" t="str">
        <x:v>對溫度或電壓資料套不同窗口移動平均比較</x:v>
      </x:c>
      <x:c r="J120" s="40" t="str">
        <x:v>科學實驗</x:v>
      </x:c>
      <x:c r="K120" s="40" t="str">
        <x:v>濾波比較圖</x:v>
      </x:c>
      <x:c r="L120" s="40" t="str">
        <x:v>科學思考</x:v>
      </x:c>
      <x:c r="M120" s="40" t="str">
        <x:v>準備匿名或模擬資料；先確認單位、欄位與可公開範圍。</x:v>
      </x:c>
      <x:c r="N120" s="40" t="str">
        <x:v>15–30 分鐘自由改造；寫三句學習日誌：我做了什麼、哪裡卡住、下次想加什麼。</x:v>
      </x:c>
      <x:c r="O120" s="40" t="str">
        <x:v>完成「濾波比較圖」；能不用看稿說出核心原理；能指出至少一個錯誤、限制或安全注意事項。</x:v>
      </x:c>
      <x:c r="P120" s="40" t="str">
        <x:v>R16</x:v>
      </x:c>
      <x:c r="Q120" s="40" t="str">
        <x:v>https://docs.python.org/3/tutorial/index.html</x:v>
      </x:c>
      <x:c r="R120" s="40" t="str">
        <x:v>請孩子回答：1. 感測雜訊與移動平均在解決什麼？2. 我怎麼做？3. 哪裡容易錯？4. 生活中哪裡會用到？</x:v>
      </x:c>
      <x:c r="S120" s="40" t="str">
        <x:v>父子科技課 #119｜感測雜訊與移動平均</x:v>
      </x:c>
      <x:c r="T120" s="40" t="n">
        <x:v>3</x:v>
      </x:c>
      <x:c r="U120" s="38" t="str">
        <x:v>感測雜訊與移動平均 data science battery energy visualization beginner tutorial Khan</x:v>
      </x:c>
      <x:c r="V120" s="38" t="str">
        <x:v>https://www.youtube.com/results?search_query=%E6%84%9F%E6%B8%AC%E9%9B%9C%E8%A8%8A%E8%88%87%E7%A7%BB%E5%8B%95%E5%B9%B3%E5%9D%87+data+science+battery+energy+visualization+beginner+tutorial+Khan</x:v>
      </x:c>
      <x:c r="W120" s="38" t="str">
        <x:v>課前暖身</x:v>
      </x:c>
      <x:c r="X120" s="38" t="str">
        <x:v>感測雜訊與移動平均 理解雜訊、平滑、反應速度與資訊損失 hands on project for kids data science battery energy visualization</x:v>
      </x:c>
      <x:c r="Y120" s="38" t="str">
        <x:v>https://www.youtube.com/results?search_query=%E6%84%9F%E6%B8%AC%E9%9B%9C%E8%A8%8A%E8%88%87%E7%A7%BB%E5%8B%95%E5%B9%B3%E5%9D%87+%E7%90%86%E8%A7%A3%E9%9B%9C%E8%A8%8A%E3%80%81%E5%B9%B3%E6%BB%91%E3%80%81%E5%8F%8D%E6%87%89%E9%80%9F%E5%BA%A6%E8%88%87%E8%B3%87%E8%A8%8A%E6%90%8D%E5%A4%B1+hands+on+project+for+kids+data+science+battery+energy+visualization</x:v>
      </x:c>
      <x:c r="Z120" s="38" t="str">
        <x:v>課中實作參考</x:v>
      </x:c>
      <x:c r="AA120" s="38" t="str">
        <x:v>感測雜訊與移動平均 中文 教學 原理 安全 親子 data science battery energy visualization</x:v>
      </x:c>
      <x:c r="AB120" s="38" t="str">
        <x:v>https://www.youtube.com/results?search_query=%E6%84%9F%E6%B8%AC%E9%9B%9C%E8%A8%8A%E8%88%87%E7%A7%BB%E5%8B%95%E5%B9%B3%E5%9D%87+%E4%B8%AD%E6%96%87+%E6%95%99%E5%AD%B8+%E5%8E%9F%E7%90%86+%E5%AE%89%E5%85%A8+%E8%A6%AA%E5%AD%90+data+science+battery+energy+visualization</x:v>
      </x:c>
      <x:c r="AC120" s="38" t="str">
        <x:v>課後延伸／親子討論</x:v>
      </x:c>
    </x:row>
    <x:row r="121" ht="105" customHeight="1">
      <x:c r="A121" s="40" t="n">
        <x:v>120</x:v>
      </x:c>
      <x:c r="B121" s="40" t="str">
        <x:v>第 3 年</x:v>
      </x:c>
      <x:c r="C121" s="40" t="str">
        <x:v>M08 資料科學與電池／能源探險</x:v>
      </x:c>
      <x:c r="D121" s="40" t="n">
        <x:v>8</x:v>
      </x:c>
      <x:c r="E121" s="40" t="str">
        <x:v>電池的三個基本訊號：V、I、T</x:v>
      </x:c>
      <x:c r="F121" s="40" t="str">
        <x:v>資料分析／視覺化／電池／能源／異常偵測</x:v>
      </x:c>
      <x:c r="G121" s="40" t="str">
        <x:v>理解電壓、電流、溫度與時間序列的工程意義</x:v>
      </x:c>
      <x:c r="H121" s="40" t="str">
        <x:v>00–10 任務開場：電池的三個基本訊號：V、I、T
10–25 概念示範：理解電壓、電流、溫度與時間序列的工程意義
25–65 父子共同實作：用模擬曲線找出充電、放電、休息與升溫區段
65–75 休息／走動／聊天
75–105 孩子獨立改造：增加一個自選規則或功能
105–115 角色互換：孩子教爸爸操作與原理
115–120 錄音總結、作品命名、版本存檔</x:v>
      </x:c>
      <x:c r="I121" s="40" t="str">
        <x:v>用模擬曲線找出充電、放電、休息與升溫區段</x:v>
      </x:c>
      <x:c r="J121" s="40" t="str">
        <x:v>工程答辯</x:v>
      </x:c>
      <x:c r="K121" s="40" t="str">
        <x:v>電池訊號標註圖</x:v>
      </x:c>
      <x:c r="L121" s="40" t="str">
        <x:v>科學思考</x:v>
      </x:c>
      <x:c r="M121" s="40" t="str">
        <x:v>準備匿名或模擬資料；先確認單位、欄位與可公開範圍。</x:v>
      </x:c>
      <x:c r="N121" s="40" t="str">
        <x:v>15–30 分鐘自由改造；寫三句學習日誌：我做了什麼、哪裡卡住、下次想加什麼。</x:v>
      </x:c>
      <x:c r="O121" s="40" t="str">
        <x:v>完成「電池訊號標註圖」；能不用看稿說出核心原理；能指出至少一個錯誤、限制或安全注意事項。</x:v>
      </x:c>
      <x:c r="P121" s="40" t="str">
        <x:v>R27</x:v>
      </x:c>
      <x:c r="Q121" s="40" t="str">
        <x:v>https://www.khanacademy.org/</x:v>
      </x:c>
      <x:c r="R121" s="40" t="str">
        <x:v>請孩子回答：1. 電池的三個基本訊號：V、I、T在解決什麼？2. 我怎麼做？3. 哪裡容易錯？4. 生活中哪裡會用到？</x:v>
      </x:c>
      <x:c r="S121" s="40" t="str">
        <x:v>父子科技課 #120｜電池的三個基本訊號：V、I、T</x:v>
      </x:c>
      <x:c r="T121" s="40" t="n">
        <x:v>3</x:v>
      </x:c>
      <x:c r="U121" s="38" t="str">
        <x:v>電池的三個基本訊號 V、I、T data science battery energy visualization beginner tutorial Khan</x:v>
      </x:c>
      <x:c r="V121" s="38" t="str">
        <x:v>https://www.youtube.com/results?search_query=%E9%9B%BB%E6%B1%A0%E7%9A%84%E4%B8%89%E5%80%8B%E5%9F%BA%E6%9C%AC%E8%A8%8A%E8%99%9F+V%E3%80%81I%E3%80%81T+data+science+battery+energy+visualization+beginner+tutorial+Khan</x:v>
      </x:c>
      <x:c r="W121" s="38" t="str">
        <x:v>課前暖身</x:v>
      </x:c>
      <x:c r="X121" s="38" t="str">
        <x:v>電池的三個基本訊號 V、I、T 理解電壓、電流、溫度與時間序列的工程意義 hands on project for kids data science battery energy visualization</x:v>
      </x:c>
      <x:c r="Y121" s="38" t="str">
        <x:v>https://www.youtube.com/results?search_query=%E9%9B%BB%E6%B1%A0%E7%9A%84%E4%B8%89%E5%80%8B%E5%9F%BA%E6%9C%AC%E8%A8%8A%E8%99%9F+V%E3%80%81I%E3%80%81T+%E7%90%86%E8%A7%A3%E9%9B%BB%E5%A3%93%E3%80%81%E9%9B%BB%E6%B5%81%E3%80%81%E6%BA%AB%E5%BA%A6%E8%88%87%E6%99%82%E9%96%93%E5%BA%8F%E5%88%97%E7%9A%84%E5%B7%A5%E7%A8%8B%E6%84%8F%E7%BE%A9+hands+on+project+for+kids+data+science+battery+energy+visualization</x:v>
      </x:c>
      <x:c r="Z121" s="38" t="str">
        <x:v>課中實作參考</x:v>
      </x:c>
      <x:c r="AA121" s="38" t="str">
        <x:v>電池的三個基本訊號 V、I、T 中文 教學 原理 安全 親子 data science battery energy visualization</x:v>
      </x:c>
      <x:c r="AB121" s="38" t="str">
        <x:v>https://www.youtube.com/results?search_query=%E9%9B%BB%E6%B1%A0%E7%9A%84%E4%B8%89%E5%80%8B%E5%9F%BA%E6%9C%AC%E8%A8%8A%E8%99%9F+V%E3%80%81I%E3%80%81T+%E4%B8%AD%E6%96%87+%E6%95%99%E5%AD%B8+%E5%8E%9F%E7%90%86+%E5%AE%89%E5%85%A8+%E8%A6%AA%E5%AD%90+data+science+battery+energy+visualization</x:v>
      </x:c>
      <x:c r="AC121" s="38" t="str">
        <x:v>課後延伸／親子討論</x:v>
      </x:c>
    </x:row>
    <x:row r="122" ht="105" customHeight="1">
      <x:c r="A122" s="40" t="n">
        <x:v>121</x:v>
      </x:c>
      <x:c r="B122" s="40" t="str">
        <x:v>第 3 年</x:v>
      </x:c>
      <x:c r="C122" s="40" t="str">
        <x:v>M08 資料科學與電池／能源探險</x:v>
      </x:c>
      <x:c r="D122" s="40" t="n">
        <x:v>9</x:v>
      </x:c>
      <x:c r="E122" s="40" t="str">
        <x:v>SOC：還剩多少能量</x:v>
      </x:c>
      <x:c r="F122" s="40" t="str">
        <x:v>資料分析／視覺化／電池／能源／異常偵測</x:v>
      </x:c>
      <x:c r="G122" s="40" t="str">
        <x:v>理解 SOC 是估計值、庫侖計數與初始誤差直覺</x:v>
      </x:c>
      <x:c r="H122" s="40" t="str">
        <x:v>00–10 任務開場：SOC：還剩多少能量
10–25 概念示範：理解 SOC 是估計值、庫侖計數與初始誤差直覺
25–65 父子共同實作：用水桶與流量計角色扮演 SOC 累積誤差
65–75 休息／走動／聊天
75–105 孩子獨立改造：增加一個自選規則或功能
105–115 角色互換：孩子教爸爸操作與原理
115–120 錄音總結、作品命名、版本存檔</x:v>
      </x:c>
      <x:c r="I122" s="40" t="str">
        <x:v>用水桶與流量計角色扮演 SOC 累積誤差</x:v>
      </x:c>
      <x:c r="J122" s="40" t="str">
        <x:v>資料偵探</x:v>
      </x:c>
      <x:c r="K122" s="40" t="str">
        <x:v>SOC 模擬表</x:v>
      </x:c>
      <x:c r="L122" s="40" t="str">
        <x:v>科學思考</x:v>
      </x:c>
      <x:c r="M122" s="40" t="str">
        <x:v>準備匿名或模擬資料；先確認單位、欄位與可公開範圍。</x:v>
      </x:c>
      <x:c r="N122" s="40" t="str">
        <x:v>15–30 分鐘自由改造；寫三句學習日誌：我做了什麼、哪裡卡住、下次想加什麼。</x:v>
      </x:c>
      <x:c r="O122" s="40" t="str">
        <x:v>完成「SOC 模擬表」；能不用看稿說出核心原理；能指出至少一個錯誤、限制或安全注意事項。</x:v>
      </x:c>
      <x:c r="P122" s="40" t="str">
        <x:v>R27</x:v>
      </x:c>
      <x:c r="Q122" s="40" t="str">
        <x:v>https://www.khanacademy.org/</x:v>
      </x:c>
      <x:c r="R122" s="40" t="str">
        <x:v>請孩子回答：1. SOC：還剩多少能量在解決什麼？2. 我怎麼做？3. 哪裡容易錯？4. 生活中哪裡會用到？</x:v>
      </x:c>
      <x:c r="S122" s="40" t="str">
        <x:v>父子科技課 #121｜SOC：還剩多少能量</x:v>
      </x:c>
      <x:c r="T122" s="40" t="n">
        <x:v>4</x:v>
      </x:c>
      <x:c r="U122" s="38" t="str">
        <x:v>SOC 還剩多少能量 data science battery energy visualization beginner tutorial Khan</x:v>
      </x:c>
      <x:c r="V122" s="38" t="str">
        <x:v>https://www.youtube.com/results?search_query=SOC+%E9%82%84%E5%89%A9%E5%A4%9A%E5%B0%91%E8%83%BD%E9%87%8F+data+science+battery+energy+visualization+beginner+tutorial+Khan</x:v>
      </x:c>
      <x:c r="W122" s="38" t="str">
        <x:v>課前暖身</x:v>
      </x:c>
      <x:c r="X122" s="38" t="str">
        <x:v>SOC 還剩多少能量 理解 SOC 是估計值、庫侖計數與初始誤差直覺 hands on project for kids data science battery energy</x:v>
      </x:c>
      <x:c r="Y122" s="38" t="str">
        <x:v>https://www.youtube.com/results?search_query=SOC+%E9%82%84%E5%89%A9%E5%A4%9A%E5%B0%91%E8%83%BD%E9%87%8F+%E7%90%86%E8%A7%A3+SOC+%E6%98%AF%E4%BC%B0%E8%A8%88%E5%80%BC%E3%80%81%E5%BA%AB%E4%BE%96%E8%A8%88%E6%95%B8%E8%88%87%E5%88%9D%E5%A7%8B%E8%AA%A4%E5%B7%AE%E7%9B%B4%E8%A6%BA+hands+on+project+for+kids+data+science+battery+energy+visualization</x:v>
      </x:c>
      <x:c r="Z122" s="38" t="str">
        <x:v>課中實作參考</x:v>
      </x:c>
      <x:c r="AA122" s="38" t="str">
        <x:v>SOC 還剩多少能量 中文 教學 原理 安全 親子 data science battery energy visualization</x:v>
      </x:c>
      <x:c r="AB122" s="38" t="str">
        <x:v>https://www.youtube.com/results?search_query=SOC+%E9%82%84%E5%89%A9%E5%A4%9A%E5%B0%91%E8%83%BD%E9%87%8F+%E4%B8%AD%E6%96%87+%E6%95%99%E5%AD%B8+%E5%8E%9F%E7%90%86+%E5%AE%89%E5%85%A8+%E8%A6%AA%E5%AD%90+data+science+battery+energy+visualization</x:v>
      </x:c>
      <x:c r="AC122" s="38" t="str">
        <x:v>課後延伸／親子討論</x:v>
      </x:c>
    </x:row>
    <x:row r="123" ht="105" customHeight="1">
      <x:c r="A123" s="40" t="n">
        <x:v>122</x:v>
      </x:c>
      <x:c r="B123" s="40" t="str">
        <x:v>第 3 年</x:v>
      </x:c>
      <x:c r="C123" s="40" t="str">
        <x:v>M08 資料科學與電池／能源探險</x:v>
      </x:c>
      <x:c r="D123" s="40" t="n">
        <x:v>10</x:v>
      </x:c>
      <x:c r="E123" s="40" t="str">
        <x:v>SOH 與老化：新舊電池差在哪</x:v>
      </x:c>
      <x:c r="F123" s="40" t="str">
        <x:v>資料分析／視覺化／電池／能源／異常偵測</x:v>
      </x:c>
      <x:c r="G123" s="40" t="str">
        <x:v>理解容量、內阻、循環、溫度與使用條件</x:v>
      </x:c>
      <x:c r="H123" s="40" t="str">
        <x:v>00–10 任務開場：SOH 與老化：新舊電池差在哪
10–25 概念示範：理解容量、內阻、循環、溫度與使用條件
25–65 父子共同實作：比較新舊電池的簡化曲線，寫出可能原因
65–75 休息／走動／聊天
75–105 孩子獨立改造：增加一個自選規則或功能
105–115 角色互換：孩子教爸爸操作與原理
115–120 錄音總結、作品命名、版本存檔</x:v>
      </x:c>
      <x:c r="I123" s="40" t="str">
        <x:v>比較新舊電池的簡化曲線，寫出可能原因</x:v>
      </x:c>
      <x:c r="J123" s="40" t="str">
        <x:v>圖表抓鬼</x:v>
      </x:c>
      <x:c r="K123" s="40" t="str">
        <x:v>老化比較卡</x:v>
      </x:c>
      <x:c r="L123" s="40" t="str">
        <x:v>科學思考</x:v>
      </x:c>
      <x:c r="M123" s="40" t="str">
        <x:v>準備匿名或模擬資料；先確認單位、欄位與可公開範圍。</x:v>
      </x:c>
      <x:c r="N123" s="40" t="str">
        <x:v>15–30 分鐘自由改造；寫三句學習日誌：我做了什麼、哪裡卡住、下次想加什麼。</x:v>
      </x:c>
      <x:c r="O123" s="40" t="str">
        <x:v>完成「老化比較卡」；能不用看稿說出核心原理；能指出至少一個錯誤、限制或安全注意事項。</x:v>
      </x:c>
      <x:c r="P123" s="40" t="str">
        <x:v>R27</x:v>
      </x:c>
      <x:c r="Q123" s="40" t="str">
        <x:v>https://www.khanacademy.org/</x:v>
      </x:c>
      <x:c r="R123" s="40" t="str">
        <x:v>請孩子回答：1. SOH 與老化：新舊電池差在哪在解決什麼？2. 我怎麼做？3. 哪裡容易錯？4. 生活中哪裡會用到？</x:v>
      </x:c>
      <x:c r="S123" s="40" t="str">
        <x:v>父子科技課 #122｜SOH 與老化：新舊電池差在哪</x:v>
      </x:c>
      <x:c r="T123" s="40" t="n">
        <x:v>4</x:v>
      </x:c>
      <x:c r="U123" s="38" t="str">
        <x:v>SOH 與老化 新舊電池差在哪 data science battery energy visualization beginner tutorial Khan</x:v>
      </x:c>
      <x:c r="V123" s="38" t="str">
        <x:v>https://www.youtube.com/results?search_query=SOH+%E8%88%87%E8%80%81%E5%8C%96+%E6%96%B0%E8%88%8A%E9%9B%BB%E6%B1%A0%E5%B7%AE%E5%9C%A8%E5%93%AA+data+science+battery+energy+visualization+beginner+tutorial+Khan</x:v>
      </x:c>
      <x:c r="W123" s="38" t="str">
        <x:v>課前暖身</x:v>
      </x:c>
      <x:c r="X123" s="38" t="str">
        <x:v>SOH 與老化 新舊電池差在哪 理解容量、內阻、循環、溫度與使用條件 hands on project for kids data science battery energy visualization</x:v>
      </x:c>
      <x:c r="Y123" s="38" t="str">
        <x:v>https://www.youtube.com/results?search_query=SOH+%E8%88%87%E8%80%81%E5%8C%96+%E6%96%B0%E8%88%8A%E9%9B%BB%E6%B1%A0%E5%B7%AE%E5%9C%A8%E5%93%AA+%E7%90%86%E8%A7%A3%E5%AE%B9%E9%87%8F%E3%80%81%E5%85%A7%E9%98%BB%E3%80%81%E5%BE%AA%E7%92%B0%E3%80%81%E6%BA%AB%E5%BA%A6%E8%88%87%E4%BD%BF%E7%94%A8%E6%A2%9D%E4%BB%B6+hands+on+project+for+kids+data+science+battery+energy+visualization</x:v>
      </x:c>
      <x:c r="Z123" s="38" t="str">
        <x:v>課中實作參考</x:v>
      </x:c>
      <x:c r="AA123" s="38" t="str">
        <x:v>SOH 與老化 新舊電池差在哪 中文 教學 原理 安全 親子 data science battery energy visualization</x:v>
      </x:c>
      <x:c r="AB123" s="38" t="str">
        <x:v>https://www.youtube.com/results?search_query=SOH+%E8%88%87%E8%80%81%E5%8C%96+%E6%96%B0%E8%88%8A%E9%9B%BB%E6%B1%A0%E5%B7%AE%E5%9C%A8%E5%93%AA+%E4%B8%AD%E6%96%87+%E6%95%99%E5%AD%B8+%E5%8E%9F%E7%90%86+%E5%AE%89%E5%85%A8+%E8%A6%AA%E5%AD%90+data+science+battery+energy+visualization</x:v>
      </x:c>
      <x:c r="AC123" s="38" t="str">
        <x:v>課後延伸／親子討論</x:v>
      </x:c>
    </x:row>
    <x:row r="124" ht="105" customHeight="1">
      <x:c r="A124" s="40" t="n">
        <x:v>123</x:v>
      </x:c>
      <x:c r="B124" s="40" t="str">
        <x:v>第 3 年</x:v>
      </x:c>
      <x:c r="C124" s="40" t="str">
        <x:v>M08 資料科學與電池／能源探險</x:v>
      </x:c>
      <x:c r="D124" s="40" t="n">
        <x:v>11</x:v>
      </x:c>
      <x:c r="E124" s="40" t="str">
        <x:v>充電曲線與功率限制</x:v>
      </x:c>
      <x:c r="F124" s="40" t="str">
        <x:v>資料分析／視覺化／電池／能源／異常偵測</x:v>
      </x:c>
      <x:c r="G124" s="40" t="str">
        <x:v>理解 CC/CV、功率 P=VI、充電速度與熱的權衡</x:v>
      </x:c>
      <x:c r="H124" s="40" t="str">
        <x:v>00–10 任務開場：充電曲線與功率限制
10–25 概念示範：理解 CC/CV、功率 P=VI、充電速度與熱的權衡
25–65 父子共同實作：用積木堆疊模擬不同 SOC 區間的充電功率
65–75 休息／走動／聊天
75–105 孩子獨立改造：增加一個自選規則或功能
105–115 角色互換：孩子教爸爸操作與原理
115–120 錄音總結、作品命名、版本存檔</x:v>
      </x:c>
      <x:c r="I124" s="40" t="str">
        <x:v>用積木堆疊模擬不同 SOC 區間的充電功率</x:v>
      </x:c>
      <x:c r="J124" s="40" t="str">
        <x:v>科學實驗</x:v>
      </x:c>
      <x:c r="K124" s="40" t="str">
        <x:v>充電策略圖</x:v>
      </x:c>
      <x:c r="L124" s="40" t="str">
        <x:v>科學思考</x:v>
      </x:c>
      <x:c r="M124" s="40" t="str">
        <x:v>準備匿名或模擬資料；先確認單位、欄位與可公開範圍。</x:v>
      </x:c>
      <x:c r="N124" s="40" t="str">
        <x:v>15–30 分鐘自由改造；寫三句學習日誌：我做了什麼、哪裡卡住、下次想加什麼。</x:v>
      </x:c>
      <x:c r="O124" s="40" t="str">
        <x:v>完成「充電策略圖」；能不用看稿說出核心原理；能指出至少一個錯誤、限制或安全注意事項。</x:v>
      </x:c>
      <x:c r="P124" s="40" t="str">
        <x:v>R27</x:v>
      </x:c>
      <x:c r="Q124" s="40" t="str">
        <x:v>https://www.khanacademy.org/</x:v>
      </x:c>
      <x:c r="R124" s="40" t="str">
        <x:v>請孩子回答：1. 充電曲線與功率限制在解決什麼？2. 我怎麼做？3. 哪裡容易錯？4. 生活中哪裡會用到？</x:v>
      </x:c>
      <x:c r="S124" s="40" t="str">
        <x:v>父子科技課 #123｜充電曲線與功率限制</x:v>
      </x:c>
      <x:c r="T124" s="40" t="n">
        <x:v>4</x:v>
      </x:c>
      <x:c r="U124" s="38" t="str">
        <x:v>充電曲線與功率限制 data science battery energy visualization beginner tutorial Khan</x:v>
      </x:c>
      <x:c r="V124" s="38" t="str">
        <x:v>https://www.youtube.com/results?search_query=%E5%85%85%E9%9B%BB%E6%9B%B2%E7%B7%9A%E8%88%87%E5%8A%9F%E7%8E%87%E9%99%90%E5%88%B6+data+science+battery+energy+visualization+beginner+tutorial+Khan</x:v>
      </x:c>
      <x:c r="W124" s="38" t="str">
        <x:v>課前暖身</x:v>
      </x:c>
      <x:c r="X124" s="38" t="str">
        <x:v>充電曲線與功率限制 理解 CC/CV、功率 P=VI、充電速度與熱的權衡 hands on project for kids data science battery energy visualization</x:v>
      </x:c>
      <x:c r="Y124" s="38" t="str">
        <x:v>https://www.youtube.com/results?search_query=%E5%85%85%E9%9B%BB%E6%9B%B2%E7%B7%9A%E8%88%87%E5%8A%9F%E7%8E%87%E9%99%90%E5%88%B6+%E7%90%86%E8%A7%A3+CC%2FCV%E3%80%81%E5%8A%9F%E7%8E%87+P%3DVI%E3%80%81%E5%85%85%E9%9B%BB%E9%80%9F%E5%BA%A6%E8%88%87%E7%86%B1%E7%9A%84%E6%AC%8A%E8%A1%A1+hands+on+project+for+kids+data+science+battery+energy+visualization</x:v>
      </x:c>
      <x:c r="Z124" s="38" t="str">
        <x:v>課中實作參考</x:v>
      </x:c>
      <x:c r="AA124" s="38" t="str">
        <x:v>充電曲線與功率限制 中文 教學 原理 安全 親子 data science battery energy visualization</x:v>
      </x:c>
      <x:c r="AB124" s="38" t="str">
        <x:v>https://www.youtube.com/results?search_query=%E5%85%85%E9%9B%BB%E6%9B%B2%E7%B7%9A%E8%88%87%E5%8A%9F%E7%8E%87%E9%99%90%E5%88%B6+%E4%B8%AD%E6%96%87+%E6%95%99%E5%AD%B8+%E5%8E%9F%E7%90%86+%E5%AE%89%E5%85%A8+%E8%A6%AA%E5%AD%90+data+science+battery+energy+visualization</x:v>
      </x:c>
      <x:c r="AC124" s="38" t="str">
        <x:v>課後延伸／親子討論</x:v>
      </x:c>
    </x:row>
    <x:row r="125" ht="105" customHeight="1">
      <x:c r="A125" s="40" t="n">
        <x:v>124</x:v>
      </x:c>
      <x:c r="B125" s="40" t="str">
        <x:v>第 3 年</x:v>
      </x:c>
      <x:c r="C125" s="40" t="str">
        <x:v>M08 資料科學與電池／能源探險</x:v>
      </x:c>
      <x:c r="D125" s="40" t="n">
        <x:v>12</x:v>
      </x:c>
      <x:c r="E125" s="40" t="str">
        <x:v>能量、功率與電費</x:v>
      </x:c>
      <x:c r="F125" s="40" t="str">
        <x:v>資料分析／視覺化／電池／能源／異常偵測</x:v>
      </x:c>
      <x:c r="G125" s="40" t="str">
        <x:v>區分 W、Wh、kW、kWh 並估算家電用能</x:v>
      </x:c>
      <x:c r="H125" s="40" t="str">
        <x:v>00–10 任務開場：能量、功率與電費
10–25 概念示範：區分 W、Wh、kW、kWh 並估算家電用能
25–65 父子共同實作：量或查三項家電功率，計算每天與每月能源
65–75 休息／走動／聊天
75–105 孩子獨立改造：增加一個自選規則或功能
105–115 角色互換：孩子教爸爸操作與原理
115–120 錄音總結、作品命名、版本存檔</x:v>
      </x:c>
      <x:c r="I125" s="40" t="str">
        <x:v>量或查三項家電功率，計算每天與每月能源</x:v>
      </x:c>
      <x:c r="J125" s="40" t="str">
        <x:v>工程答辯</x:v>
      </x:c>
      <x:c r="K125" s="40" t="str">
        <x:v>家庭用能估算</x:v>
      </x:c>
      <x:c r="L125" s="40" t="str">
        <x:v>科學思考</x:v>
      </x:c>
      <x:c r="M125" s="40" t="str">
        <x:v>準備匿名或模擬資料；先確認單位、欄位與可公開範圍。</x:v>
      </x:c>
      <x:c r="N125" s="40" t="str">
        <x:v>15–30 分鐘自由改造；寫三句學習日誌：我做了什麼、哪裡卡住、下次想加什麼。</x:v>
      </x:c>
      <x:c r="O125" s="40" t="str">
        <x:v>完成「家庭用能估算」；能不用看稿說出核心原理；能指出至少一個錯誤、限制或安全注意事項。</x:v>
      </x:c>
      <x:c r="P125" s="40" t="str">
        <x:v>R27</x:v>
      </x:c>
      <x:c r="Q125" s="40" t="str">
        <x:v>https://www.khanacademy.org/</x:v>
      </x:c>
      <x:c r="R125" s="40" t="str">
        <x:v>請孩子回答：1. 能量、功率與電費在解決什麼？2. 我怎麼做？3. 哪裡容易錯？4. 生活中哪裡會用到？</x:v>
      </x:c>
      <x:c r="S125" s="40" t="str">
        <x:v>父子科技課 #124｜能量、功率與電費</x:v>
      </x:c>
      <x:c r="T125" s="40" t="n">
        <x:v>4</x:v>
      </x:c>
      <x:c r="U125" s="38" t="str">
        <x:v>能量、功率與電費 data science battery energy visualization beginner tutorial Khan</x:v>
      </x:c>
      <x:c r="V125" s="38" t="str">
        <x:v>https://www.youtube.com/results?search_query=%E8%83%BD%E9%87%8F%E3%80%81%E5%8A%9F%E7%8E%87%E8%88%87%E9%9B%BB%E8%B2%BB+data+science+battery+energy+visualization+beginner+tutorial+Khan</x:v>
      </x:c>
      <x:c r="W125" s="38" t="str">
        <x:v>課前暖身</x:v>
      </x:c>
      <x:c r="X125" s="38" t="str">
        <x:v>能量、功率與電費 區分 W、Wh、kW、kWh 並估算家電用能 hands on project for kids data science battery energy visualization</x:v>
      </x:c>
      <x:c r="Y125" s="38" t="str">
        <x:v>https://www.youtube.com/results?search_query=%E8%83%BD%E9%87%8F%E3%80%81%E5%8A%9F%E7%8E%87%E8%88%87%E9%9B%BB%E8%B2%BB+%E5%8D%80%E5%88%86+W%E3%80%81Wh%E3%80%81kW%E3%80%81kWh+%E4%B8%A6%E4%BC%B0%E7%AE%97%E5%AE%B6%E9%9B%BB%E7%94%A8%E8%83%BD+hands+on+project+for+kids+data+science+battery+energy+visualization</x:v>
      </x:c>
      <x:c r="Z125" s="38" t="str">
        <x:v>課中實作參考</x:v>
      </x:c>
      <x:c r="AA125" s="38" t="str">
        <x:v>能量、功率與電費 中文 教學 原理 安全 親子 data science battery energy visualization</x:v>
      </x:c>
      <x:c r="AB125" s="38" t="str">
        <x:v>https://www.youtube.com/results?search_query=%E8%83%BD%E9%87%8F%E3%80%81%E5%8A%9F%E7%8E%87%E8%88%87%E9%9B%BB%E8%B2%BB+%E4%B8%AD%E6%96%87+%E6%95%99%E5%AD%B8+%E5%8E%9F%E7%90%86+%E5%AE%89%E5%85%A8+%E8%A6%AA%E5%AD%90+data+science+battery+energy+visualization</x:v>
      </x:c>
      <x:c r="AC125" s="38" t="str">
        <x:v>課後延伸／親子討論</x:v>
      </x:c>
    </x:row>
    <x:row r="126" ht="105" customHeight="1">
      <x:c r="A126" s="40" t="n">
        <x:v>125</x:v>
      </x:c>
      <x:c r="B126" s="40" t="str">
        <x:v>第 3 年</x:v>
      </x:c>
      <x:c r="C126" s="40" t="str">
        <x:v>M08 資料科學與電池／能源探險</x:v>
      </x:c>
      <x:c r="D126" s="40" t="n">
        <x:v>13</x:v>
      </x:c>
      <x:c r="E126" s="40" t="str">
        <x:v>Python 資料分析：讀檔、計算、畫圖</x:v>
      </x:c>
      <x:c r="F126" s="40" t="str">
        <x:v>資料分析／視覺化／電池／能源／異常偵測</x:v>
      </x:c>
      <x:c r="G126" s="40" t="str">
        <x:v>用 Python 載入 CSV、轉型、統計與輸出圖表</x:v>
      </x:c>
      <x:c r="H126" s="40" t="str">
        <x:v>00–10 任務開場：Python 資料分析：讀檔、計算、畫圖
10–25 概念示範：用 Python 載入 CSV、轉型、統計與輸出圖表
25–65 父子共同實作：完成一個可重跑的 analysis.py
65–75 休息／走動／聊天
75–105 孩子獨立改造：增加一個自選規則或功能
105–115 角色互換：孩子教爸爸操作與原理
115–120 錄音總結、作品命名、版本存檔</x:v>
      </x:c>
      <x:c r="I126" s="40" t="str">
        <x:v>完成一個可重跑的 analysis.py</x:v>
      </x:c>
      <x:c r="J126" s="40" t="str">
        <x:v>資料偵探</x:v>
      </x:c>
      <x:c r="K126" s="40" t="str">
        <x:v>分析腳本＋圖表</x:v>
      </x:c>
      <x:c r="L126" s="40" t="str">
        <x:v>科學思考</x:v>
      </x:c>
      <x:c r="M126" s="40" t="str">
        <x:v>準備匿名或模擬資料；先確認單位、欄位與可公開範圍。</x:v>
      </x:c>
      <x:c r="N126" s="40" t="str">
        <x:v>15–30 分鐘自由改造；寫三句學習日誌：我做了什麼、哪裡卡住、下次想加什麼。</x:v>
      </x:c>
      <x:c r="O126" s="40" t="str">
        <x:v>完成「分析腳本＋圖表」；能不用看稿說出核心原理；能指出至少一個錯誤、限制或安全注意事項。</x:v>
      </x:c>
      <x:c r="P126" s="40" t="str">
        <x:v>R12,R16</x:v>
      </x:c>
      <x:c r="Q126" s="40" t="str">
        <x:v>https://projects.raspberrypi.org/en/collections/python</x:v>
      </x:c>
      <x:c r="R126" s="40" t="str">
        <x:v>請孩子回答：1. Python 資料分析：讀檔、計算、畫圖在解決什麼？2. 我怎麼做？3. 哪裡容易錯？4. 生活中哪裡會用到？</x:v>
      </x:c>
      <x:c r="S126" s="40" t="str">
        <x:v>父子科技課 #125｜Python 資料分析：讀檔、計算、畫圖</x:v>
      </x:c>
      <x:c r="T126" s="40" t="n">
        <x:v>4</x:v>
      </x:c>
      <x:c r="U126" s="38" t="str">
        <x:v>Python 資料分析 讀檔、計算、畫圖 data science battery energy visualization beginner tutorial Khan</x:v>
      </x:c>
      <x:c r="V126" s="38" t="str">
        <x:v>https://www.youtube.com/results?search_query=Python+%E8%B3%87%E6%96%99%E5%88%86%E6%9E%90+%E8%AE%80%E6%AA%94%E3%80%81%E8%A8%88%E7%AE%97%E3%80%81%E7%95%AB%E5%9C%96+data+science+battery+energy+visualization+beginner+tutorial+Khan</x:v>
      </x:c>
      <x:c r="W126" s="38" t="str">
        <x:v>課前暖身</x:v>
      </x:c>
      <x:c r="X126" s="38" t="str">
        <x:v>Python 資料分析 讀檔、計算、畫圖 用 Python 載入 CSV、轉型、統計與輸出圖表 hands on project for kids data science</x:v>
      </x:c>
      <x:c r="Y126" s="38" t="str">
        <x:v>https://www.youtube.com/results?search_query=Python+%E8%B3%87%E6%96%99%E5%88%86%E6%9E%90+%E8%AE%80%E6%AA%94%E3%80%81%E8%A8%88%E7%AE%97%E3%80%81%E7%95%AB%E5%9C%96+%E7%94%A8+Python+%E8%BC%89%E5%85%A5+CSV%E3%80%81%E8%BD%89%E5%9E%8B%E3%80%81%E7%B5%B1%E8%A8%88%E8%88%87%E8%BC%B8%E5%87%BA%E5%9C%96%E8%A1%A8+hands+on+project+for+kids+data+science+battery+energy+visualization</x:v>
      </x:c>
      <x:c r="Z126" s="38" t="str">
        <x:v>課中實作參考</x:v>
      </x:c>
      <x:c r="AA126" s="38" t="str">
        <x:v>Python 資料分析 讀檔、計算、畫圖 中文 教學 原理 安全 親子 data science battery energy visualization</x:v>
      </x:c>
      <x:c r="AB126" s="38" t="str">
        <x:v>https://www.youtube.com/results?search_query=Python+%E8%B3%87%E6%96%99%E5%88%86%E6%9E%90+%E8%AE%80%E6%AA%94%E3%80%81%E8%A8%88%E7%AE%97%E3%80%81%E7%95%AB%E5%9C%96+%E4%B8%AD%E6%96%87+%E6%95%99%E5%AD%B8+%E5%8E%9F%E7%90%86+%E5%AE%89%E5%85%A8+%E8%A6%AA%E5%AD%90+data+science+battery+energy+visualization</x:v>
      </x:c>
      <x:c r="AC126" s="38" t="str">
        <x:v>課後延伸／親子討論</x:v>
      </x:c>
    </x:row>
    <x:row r="127" ht="105" customHeight="1">
      <x:c r="A127" s="40" t="n">
        <x:v>126</x:v>
      </x:c>
      <x:c r="B127" s="40" t="str">
        <x:v>第 3 年</x:v>
      </x:c>
      <x:c r="C127" s="40" t="str">
        <x:v>M08 資料科學與電池／能源探險</x:v>
      </x:c>
      <x:c r="D127" s="40" t="n">
        <x:v>14</x:v>
      </x:c>
      <x:c r="E127" s="40" t="str">
        <x:v>規則式異常偵測</x:v>
      </x:c>
      <x:c r="F127" s="40" t="str">
        <x:v>資料分析／視覺化／電池／能源／異常偵測</x:v>
      </x:c>
      <x:c r="G127" s="40" t="str">
        <x:v>以閾值、變化率、持續時間與多訊號條件定義異常</x:v>
      </x:c>
      <x:c r="H127" s="40" t="str">
        <x:v>00–10 任務開場：規則式異常偵測
10–25 概念示範：以閾值、變化率、持續時間與多訊號條件定義異常
25–65 父子共同實作：設計過溫、壓差與跳變三條規則並測試
65–75 休息／走動／聊天
75–105 孩子獨立改造：增加一個自選規則或功能
105–115 角色互換：孩子教爸爸操作與原理
115–120 錄音總結、作品命名、版本存檔</x:v>
      </x:c>
      <x:c r="I127" s="40" t="str">
        <x:v>設計過溫、壓差與跳變三條規則並測試</x:v>
      </x:c>
      <x:c r="J127" s="40" t="str">
        <x:v>圖表抓鬼</x:v>
      </x:c>
      <x:c r="K127" s="40" t="str">
        <x:v>異常規則表</x:v>
      </x:c>
      <x:c r="L127" s="40" t="str">
        <x:v>問題拆解</x:v>
      </x:c>
      <x:c r="M127" s="40" t="str">
        <x:v>準備匿名或模擬資料；先確認單位、欄位與可公開範圍。</x:v>
      </x:c>
      <x:c r="N127" s="40" t="str">
        <x:v>15–30 分鐘自由改造；寫三句學習日誌：我做了什麼、哪裡卡住、下次想加什麼。</x:v>
      </x:c>
      <x:c r="O127" s="40" t="str">
        <x:v>完成「異常規則表」；能不用看稿說出核心原理；能指出至少一個錯誤、限制或安全注意事項。</x:v>
      </x:c>
      <x:c r="P127" s="40" t="str">
        <x:v>R16</x:v>
      </x:c>
      <x:c r="Q127" s="40" t="str">
        <x:v>https://docs.python.org/3/tutorial/index.html</x:v>
      </x:c>
      <x:c r="R127" s="40" t="str">
        <x:v>請孩子回答：1. 規則式異常偵測在解決什麼？2. 我怎麼做？3. 哪裡容易錯？4. 生活中哪裡會用到？</x:v>
      </x:c>
      <x:c r="S127" s="40" t="str">
        <x:v>父子科技課 #126｜規則式異常偵測</x:v>
      </x:c>
      <x:c r="T127" s="40" t="n">
        <x:v>4</x:v>
      </x:c>
      <x:c r="U127" s="38" t="str">
        <x:v>規則式異常偵測 data science battery energy visualization beginner tutorial Khan</x:v>
      </x:c>
      <x:c r="V127" s="38" t="str">
        <x:v>https://www.youtube.com/results?search_query=%E8%A6%8F%E5%89%87%E5%BC%8F%E7%95%B0%E5%B8%B8%E5%81%B5%E6%B8%AC+data+science+battery+energy+visualization+beginner+tutorial+Khan</x:v>
      </x:c>
      <x:c r="W127" s="38" t="str">
        <x:v>課前暖身</x:v>
      </x:c>
      <x:c r="X127" s="38" t="str">
        <x:v>規則式異常偵測 以閾值、變化率、持續時間與多訊號條件定義異常 hands on project for kids data science battery energy visualization</x:v>
      </x:c>
      <x:c r="Y127" s="38" t="str">
        <x:v>https://www.youtube.com/results?search_query=%E8%A6%8F%E5%89%87%E5%BC%8F%E7%95%B0%E5%B8%B8%E5%81%B5%E6%B8%AC+%E4%BB%A5%E9%96%BE%E5%80%BC%E3%80%81%E8%AE%8A%E5%8C%96%E7%8E%87%E3%80%81%E6%8C%81%E7%BA%8C%E6%99%82%E9%96%93%E8%88%87%E5%A4%9A%E8%A8%8A%E8%99%9F%E6%A2%9D%E4%BB%B6%E5%AE%9A%E7%BE%A9%E7%95%B0%E5%B8%B8+hands+on+project+for+kids+data+science+battery+energy+visualization</x:v>
      </x:c>
      <x:c r="Z127" s="38" t="str">
        <x:v>課中實作參考</x:v>
      </x:c>
      <x:c r="AA127" s="38" t="str">
        <x:v>規則式異常偵測 中文 教學 原理 安全 親子 data science battery energy visualization</x:v>
      </x:c>
      <x:c r="AB127" s="38" t="str">
        <x:v>https://www.youtube.com/results?search_query=%E8%A6%8F%E5%89%87%E5%BC%8F%E7%95%B0%E5%B8%B8%E5%81%B5%E6%B8%AC+%E4%B8%AD%E6%96%87+%E6%95%99%E5%AD%B8+%E5%8E%9F%E7%90%86+%E5%AE%89%E5%85%A8+%E8%A6%AA%E5%AD%90+data+science+battery+energy+visualization</x:v>
      </x:c>
      <x:c r="AC127" s="38" t="str">
        <x:v>課後延伸／親子討論</x:v>
      </x:c>
    </x:row>
    <x:row r="128" ht="105" customHeight="1">
      <x:c r="A128" s="40" t="n">
        <x:v>127</x:v>
      </x:c>
      <x:c r="B128" s="40" t="str">
        <x:v>第 3 年</x:v>
      </x:c>
      <x:c r="C128" s="40" t="str">
        <x:v>M08 資料科學與電池／能源探險</x:v>
      </x:c>
      <x:c r="D128" s="40" t="n">
        <x:v>15</x:v>
      </x:c>
      <x:c r="E128" s="40" t="str">
        <x:v>資料儀表板：先回答問題再畫圖</x:v>
      </x:c>
      <x:c r="F128" s="40" t="str">
        <x:v>資料分析／視覺化／電池／能源／異常偵測</x:v>
      </x:c>
      <x:c r="G128" s="40" t="str">
        <x:v>建立 KPI、趨勢、告警與說明，而非堆滿圖表</x:v>
      </x:c>
      <x:c r="H128" s="40" t="str">
        <x:v>00–10 任務開場：資料儀表板：先回答問題再畫圖
10–25 概念示範：建立 KPI、趨勢、告警與說明，而非堆滿圖表
25–65 父子共同實作：做一頁電池健康或家庭能源 Dashboard
65–75 休息／走動／聊天
75–105 孩子獨立改造：增加一個自選規則或功能
105–115 角色互換：孩子教爸爸操作與原理
115–120 錄音總結、作品命名、版本存檔</x:v>
      </x:c>
      <x:c r="I128" s="40" t="str">
        <x:v>做一頁電池健康或家庭能源 Dashboard</x:v>
      </x:c>
      <x:c r="J128" s="40" t="str">
        <x:v>科學實驗</x:v>
      </x:c>
      <x:c r="K128" s="40" t="str">
        <x:v>儀表板 Alpha</x:v>
      </x:c>
      <x:c r="L128" s="40" t="str">
        <x:v>科學思考</x:v>
      </x:c>
      <x:c r="M128" s="40" t="str">
        <x:v>準備匿名或模擬資料；先確認單位、欄位與可公開範圍。</x:v>
      </x:c>
      <x:c r="N128" s="40" t="str">
        <x:v>15–30 分鐘自由改造；寫三句學習日誌：我做了什麼、哪裡卡住、下次想加什麼。</x:v>
      </x:c>
      <x:c r="O128" s="40" t="str">
        <x:v>完成「儀表板 Alpha」；能不用看稿說出核心原理；能指出至少一個錯誤、限制或安全注意事項。</x:v>
      </x:c>
      <x:c r="P128" s="40" t="str">
        <x:v>R12</x:v>
      </x:c>
      <x:c r="Q128" s="40" t="str">
        <x:v>https://projects.raspberrypi.org/en/collections/python</x:v>
      </x:c>
      <x:c r="R128" s="40" t="str">
        <x:v>請孩子回答：1. 資料儀表板：先回答問題再畫圖在解決什麼？2. 我怎麼做？3. 哪裡容易錯？4. 生活中哪裡會用到？</x:v>
      </x:c>
      <x:c r="S128" s="40" t="str">
        <x:v>父子科技課 #127｜資料儀表板：先回答問題再畫圖</x:v>
      </x:c>
      <x:c r="T128" s="40" t="n">
        <x:v>4</x:v>
      </x:c>
      <x:c r="U128" s="38" t="str">
        <x:v>資料儀表板 先回答問題再畫圖 data science battery energy visualization beginner tutorial Khan</x:v>
      </x:c>
      <x:c r="V128" s="38" t="str">
        <x:v>https://www.youtube.com/results?search_query=%E8%B3%87%E6%96%99%E5%84%80%E8%A1%A8%E6%9D%BF+%E5%85%88%E5%9B%9E%E7%AD%94%E5%95%8F%E9%A1%8C%E5%86%8D%E7%95%AB%E5%9C%96+data+science+battery+energy+visualization+beginner+tutorial+Khan</x:v>
      </x:c>
      <x:c r="W128" s="38" t="str">
        <x:v>課前暖身</x:v>
      </x:c>
      <x:c r="X128" s="38" t="str">
        <x:v>資料儀表板 先回答問題再畫圖 建立 KPI、趨勢、告警與說明，而非堆滿圖表 hands on project for kids data science battery energy visualization</x:v>
      </x:c>
      <x:c r="Y128" s="38" t="str">
        <x:v>https://www.youtube.com/results?search_query=%E8%B3%87%E6%96%99%E5%84%80%E8%A1%A8%E6%9D%BF+%E5%85%88%E5%9B%9E%E7%AD%94%E5%95%8F%E9%A1%8C%E5%86%8D%E7%95%AB%E5%9C%96+%E5%BB%BA%E7%AB%8B+KPI%E3%80%81%E8%B6%A8%E5%8B%A2%E3%80%81%E5%91%8A%E8%AD%A6%E8%88%87%E8%AA%AA%E6%98%8E%EF%BC%8C%E8%80%8C%E9%9D%9E%E5%A0%86%E6%BB%BF%E5%9C%96%E8%A1%A8+hands+on+project+for+kids+data+science+battery+energy+visualization</x:v>
      </x:c>
      <x:c r="Z128" s="38" t="str">
        <x:v>課中實作參考</x:v>
      </x:c>
      <x:c r="AA128" s="38" t="str">
        <x:v>資料儀表板 先回答問題再畫圖 中文 教學 原理 安全 親子 data science battery energy visualization</x:v>
      </x:c>
      <x:c r="AB128" s="38" t="str">
        <x:v>https://www.youtube.com/results?search_query=%E8%B3%87%E6%96%99%E5%84%80%E8%A1%A8%E6%9D%BF+%E5%85%88%E5%9B%9E%E7%AD%94%E5%95%8F%E9%A1%8C%E5%86%8D%E7%95%AB%E5%9C%96+%E4%B8%AD%E6%96%87+%E6%95%99%E5%AD%B8+%E5%8E%9F%E7%90%86+%E5%AE%89%E5%85%A8+%E8%A6%AA%E5%AD%90+data+science+battery+energy+visualization</x:v>
      </x:c>
      <x:c r="AC128" s="38" t="str">
        <x:v>課後延伸／親子討論</x:v>
      </x:c>
    </x:row>
    <x:row r="129" ht="105" customHeight="1">
      <x:c r="A129" s="40" t="n">
        <x:v>128</x:v>
      </x:c>
      <x:c r="B129" s="40" t="str">
        <x:v>第 3 年</x:v>
      </x:c>
      <x:c r="C129" s="40" t="str">
        <x:v>M08 資料科學與電池／能源探險</x:v>
      </x:c>
      <x:c r="D129" s="40" t="n">
        <x:v>16</x:v>
      </x:c>
      <x:c r="E129" s="40" t="str">
        <x:v>能源科學展：結論有證據嗎</x:v>
      </x:c>
      <x:c r="F129" s="40" t="str">
        <x:v>資料分析／視覺化／電池／能源／異常偵測</x:v>
      </x:c>
      <x:c r="G129" s="40" t="str">
        <x:v>練習方法、結果、限制、重現與口頭答辯</x:v>
      </x:c>
      <x:c r="H129" s="40" t="str">
        <x:v>00–10 任務開場：能源科學展：結論有證據嗎
10–25 概念示範：練習方法、結果、限制、重現與口頭答辯
25–65 父子共同實作：用 5 分鐘說明資料來源、處理、發現與不確定性
65–75 休息／走動／聊天
75–105 孩子獨立改造：增加一個自選規則或功能
105–115 角色互換：孩子教爸爸操作與原理
115–120 錄音總結、作品命名、版本存檔</x:v>
      </x:c>
      <x:c r="I129" s="40" t="str">
        <x:v>用 5 分鐘說明資料來源、處理、發現與不確定性</x:v>
      </x:c>
      <x:c r="J129" s="40" t="str">
        <x:v>工程答辯</x:v>
      </x:c>
      <x:c r="K129" s="40" t="str">
        <x:v>分析報告＋科展影片</x:v>
      </x:c>
      <x:c r="L129" s="40" t="str">
        <x:v>合作與回饋</x:v>
      </x:c>
      <x:c r="M129" s="40" t="str">
        <x:v>準備匿名或模擬資料；先確認單位、欄位與可公開範圍。</x:v>
      </x:c>
      <x:c r="N129" s="40" t="str">
        <x:v>15–30 分鐘自由改造；寫三句學習日誌：我做了什麼、哪裡卡住、下次想加什麼。</x:v>
      </x:c>
      <x:c r="O129" s="40" t="str">
        <x:v>完成「分析報告＋科展影片」；能不用看稿說出核心原理；能指出至少一個錯誤、限制或安全注意事項。</x:v>
      </x:c>
      <x:c r="P129" s="40" t="str">
        <x:v>R27</x:v>
      </x:c>
      <x:c r="Q129" s="40" t="str">
        <x:v>https://www.khanacademy.org/</x:v>
      </x:c>
      <x:c r="R129" s="40" t="str">
        <x:v>請孩子回答：1. 能源科學展：結論有證據嗎在解決什麼？2. 我怎麼做？3. 哪裡容易錯？4. 生活中哪裡會用到？</x:v>
      </x:c>
      <x:c r="S129" s="40" t="str">
        <x:v>父子科技課 #128｜能源科學展：結論有證據嗎</x:v>
      </x:c>
      <x:c r="T129" s="40" t="n">
        <x:v>4</x:v>
      </x:c>
      <x:c r="U129" s="38" t="str">
        <x:v>能源科學展 結論有證據嗎 data science battery energy visualization beginner tutorial Khan</x:v>
      </x:c>
      <x:c r="V129" s="38" t="str">
        <x:v>https://www.youtube.com/results?search_query=%E8%83%BD%E6%BA%90%E7%A7%91%E5%AD%B8%E5%B1%95+%E7%B5%90%E8%AB%96%E6%9C%89%E8%AD%89%E6%93%9A%E5%97%8E+data+science+battery+energy+visualization+beginner+tutorial+Khan</x:v>
      </x:c>
      <x:c r="W129" s="38" t="str">
        <x:v>課前暖身</x:v>
      </x:c>
      <x:c r="X129" s="38" t="str">
        <x:v>能源科學展 結論有證據嗎 練習方法、結果、限制、重現與口頭答辯 hands on project for kids data science battery energy visualization</x:v>
      </x:c>
      <x:c r="Y129" s="38" t="str">
        <x:v>https://www.youtube.com/results?search_query=%E8%83%BD%E6%BA%90%E7%A7%91%E5%AD%B8%E5%B1%95+%E7%B5%90%E8%AB%96%E6%9C%89%E8%AD%89%E6%93%9A%E5%97%8E+%E7%B7%B4%E7%BF%92%E6%96%B9%E6%B3%95%E3%80%81%E7%B5%90%E6%9E%9C%E3%80%81%E9%99%90%E5%88%B6%E3%80%81%E9%87%8D%E7%8F%BE%E8%88%87%E5%8F%A3%E9%A0%AD%E7%AD%94%E8%BE%AF+hands+on+project+for+kids+data+science+battery+energy+visualization</x:v>
      </x:c>
      <x:c r="Z129" s="38" t="str">
        <x:v>課中實作參考</x:v>
      </x:c>
      <x:c r="AA129" s="38" t="str">
        <x:v>能源科學展 結論有證據嗎 中文 教學 原理 安全 親子 data science battery energy visualization</x:v>
      </x:c>
      <x:c r="AB129" s="38" t="str">
        <x:v>https://www.youtube.com/results?search_query=%E8%83%BD%E6%BA%90%E7%A7%91%E5%AD%B8%E5%B1%95+%E7%B5%90%E8%AB%96%E6%9C%89%E8%AD%89%E6%93%9A%E5%97%8E+%E4%B8%AD%E6%96%87+%E6%95%99%E5%AD%B8+%E5%8E%9F%E7%90%86+%E5%AE%89%E5%85%A8+%E8%A6%AA%E5%AD%90+data+science+battery+energy+visualization</x:v>
      </x:c>
      <x:c r="AC129" s="38" t="str">
        <x:v>課後延伸／親子討論</x:v>
      </x:c>
    </x:row>
    <x:row r="130" ht="105" customHeight="1">
      <x:c r="A130" s="40" t="n">
        <x:v>129</x:v>
      </x:c>
      <x:c r="B130" s="40" t="str">
        <x:v>第 3 年</x:v>
      </x:c>
      <x:c r="C130" s="40" t="str">
        <x:v>M09 機器學習、生成式 AI 與責任</x:v>
      </x:c>
      <x:c r="D130" s="40" t="n">
        <x:v>1</x:v>
      </x:c>
      <x:c r="E130" s="40" t="str">
        <x:v>規則還是學習：怎麼讓機器做判斷</x:v>
      </x:c>
      <x:c r="F130" s="40" t="str">
        <x:v>機器學習／神經網路／LLM／偏差／評估</x:v>
      </x:c>
      <x:c r="G130" s="40" t="str">
        <x:v>比較人工規則與從資料學模式的差異</x:v>
      </x:c>
      <x:c r="H130" s="40" t="str">
        <x:v>00–10 任務開場：規則還是學習：怎麼讓機器做判斷
10–25 概念示範：比較人工規則與從資料學模式的差異
25–65 父子共同實作：用水果分類任務，一組寫規則、一組看例子學習
65–75 休息／走動／聊天
75–105 孩子獨立改造：增加一個自選規則或功能
105–115 角色互換：孩子教爸爸操作與原理
115–120 錄音總結、作品命名、版本存檔</x:v>
      </x:c>
      <x:c r="I130" s="40" t="str">
        <x:v>用水果分類任務，一組寫規則、一組看例子學習</x:v>
      </x:c>
      <x:c r="J130" s="40" t="str">
        <x:v>人肉模型</x:v>
      </x:c>
      <x:c r="K130" s="40" t="str">
        <x:v>規則 vs ML 比較表</x:v>
      </x:c>
      <x:c r="L130" s="40" t="str">
        <x:v>問題拆解</x:v>
      </x:c>
      <x:c r="M130" s="40" t="str">
        <x:v>確認鏡頭/麥克風與瀏覽器權限；訓練資料不得含未同意的個資。</x:v>
      </x:c>
      <x:c r="N130" s="40" t="str">
        <x:v>15–30 分鐘自由改造；寫三句學習日誌：我做了什麼、哪裡卡住、下次想加什麼。</x:v>
      </x:c>
      <x:c r="O130" s="40" t="str">
        <x:v>完成「規則 vs ML 比較表」；能不用看稿說出核心原理；能指出至少一個錯誤、限制或安全注意事項。</x:v>
      </x:c>
      <x:c r="P130" s="40" t="str">
        <x:v>R09</x:v>
      </x:c>
      <x:c r="Q130" s="40" t="str">
        <x:v>https://code.org/oceans</x:v>
      </x:c>
      <x:c r="R130" s="40" t="str">
        <x:v>請孩子回答：1. 規則還是學習：怎麼讓機器做判斷在解決什麼？2. 我怎麼做？3. 哪裡容易錯？4. 生活中哪裡會用到？</x:v>
      </x:c>
      <x:c r="S130" s="40" t="str">
        <x:v>父子科技課 #129｜規則還是學習：怎麼讓機器做判斷</x:v>
      </x:c>
      <x:c r="T130" s="40" t="n">
        <x:v>3</x:v>
      </x:c>
      <x:c r="U130" s="38" t="str">
        <x:v>規則還是學習 怎麼讓機器做判斷 machine learning responsible AI beginner tutorial Teachable</x:v>
      </x:c>
      <x:c r="V130" s="38" t="str">
        <x:v>https://www.youtube.com/results?search_query=%E8%A6%8F%E5%89%87%E9%82%84%E6%98%AF%E5%AD%B8%E7%BF%92+%E6%80%8E%E9%BA%BC%E8%AE%93%E6%A9%9F%E5%99%A8%E5%81%9A%E5%88%A4%E6%96%B7+machine+learning+responsible+AI+beginner+tutorial+Teachable</x:v>
      </x:c>
      <x:c r="W130" s="38" t="str">
        <x:v>課前暖身</x:v>
      </x:c>
      <x:c r="X130" s="38" t="str">
        <x:v>規則還是學習 怎麼讓機器做判斷 比較人工規則與從資料學模式的差異 hands on project for kids machine learning responsible AI</x:v>
      </x:c>
      <x:c r="Y130" s="38" t="str">
        <x:v>https://www.youtube.com/results?search_query=%E8%A6%8F%E5%89%87%E9%82%84%E6%98%AF%E5%AD%B8%E7%BF%92+%E6%80%8E%E9%BA%BC%E8%AE%93%E6%A9%9F%E5%99%A8%E5%81%9A%E5%88%A4%E6%96%B7+%E6%AF%94%E8%BC%83%E4%BA%BA%E5%B7%A5%E8%A6%8F%E5%89%87%E8%88%87%E5%BE%9E%E8%B3%87%E6%96%99%E5%AD%B8%E6%A8%A1%E5%BC%8F%E7%9A%84%E5%B7%AE%E7%95%B0+hands+on+project+for+kids+machine+learning+responsible+AI</x:v>
      </x:c>
      <x:c r="Z130" s="38" t="str">
        <x:v>課中實作參考</x:v>
      </x:c>
      <x:c r="AA130" s="38" t="str">
        <x:v>規則還是學習 怎麼讓機器做判斷 中文 教學 原理 安全 親子 machine learning responsible AI</x:v>
      </x:c>
      <x:c r="AB130" s="38" t="str">
        <x:v>https://www.youtube.com/results?search_query=%E8%A6%8F%E5%89%87%E9%82%84%E6%98%AF%E5%AD%B8%E7%BF%92+%E6%80%8E%E9%BA%BC%E8%AE%93%E6%A9%9F%E5%99%A8%E5%81%9A%E5%88%A4%E6%96%B7+%E4%B8%AD%E6%96%87+%E6%95%99%E5%AD%B8+%E5%8E%9F%E7%90%86+%E5%AE%89%E5%85%A8+%E8%A6%AA%E5%AD%90+machine+learning+responsible+AI</x:v>
      </x:c>
      <x:c r="AC130" s="38" t="str">
        <x:v>課後延伸／親子討論</x:v>
      </x:c>
    </x:row>
    <x:row r="131" ht="105" customHeight="1">
      <x:c r="A131" s="40" t="n">
        <x:v>130</x:v>
      </x:c>
      <x:c r="B131" s="40" t="str">
        <x:v>第 3 年</x:v>
      </x:c>
      <x:c r="C131" s="40" t="str">
        <x:v>M09 機器學習、生成式 AI 與責任</x:v>
      </x:c>
      <x:c r="D131" s="40" t="n">
        <x:v>2</x:v>
      </x:c>
      <x:c r="E131" s="40" t="str">
        <x:v>標籤與訓練資料：老師教錯會怎樣</x:v>
      </x:c>
      <x:c r="F131" s="40" t="str">
        <x:v>機器學習／神經網路／LLM／偏差／評估</x:v>
      </x:c>
      <x:c r="G131" s="40" t="str">
        <x:v>理解 label、feature、樣本平衡與資料品質</x:v>
      </x:c>
      <x:c r="H131" s="40" t="str">
        <x:v>00–10 任務開場：標籤與訓練資料：老師教錯會怎樣
10–25 概念示範：理解 label、feature、樣本平衡與資料品質
25–65 父子共同實作：故意加入錯標與偏斜資料，觀察模型結果
65–75 休息／走動／聊天
75–105 孩子獨立改造：增加一個自選規則或功能
105–115 角色互換：孩子教爸爸操作與原理
115–120 錄音總結、作品命名、版本存檔</x:v>
      </x:c>
      <x:c r="I131" s="40" t="str">
        <x:v>故意加入錯標與偏斜資料，觀察模型結果</x:v>
      </x:c>
      <x:c r="J131" s="40" t="str">
        <x:v>偏差挑戰</x:v>
      </x:c>
      <x:c r="K131" s="40" t="str">
        <x:v>資料品質檢查表</x:v>
      </x:c>
      <x:c r="L131" s="40" t="str">
        <x:v>責任與公平</x:v>
      </x:c>
      <x:c r="M131" s="40" t="str">
        <x:v>確認鏡頭/麥克風與瀏覽器權限；訓練資料不得含未同意的個資。</x:v>
      </x:c>
      <x:c r="N131" s="40" t="str">
        <x:v>15–30 分鐘自由改造；寫三句學習日誌：我做了什麼、哪裡卡住、下次想加什麼。</x:v>
      </x:c>
      <x:c r="O131" s="40" t="str">
        <x:v>完成「資料品質檢查表」；能不用看稿說出核心原理；能指出至少一個錯誤、限制或安全注意事項。</x:v>
      </x:c>
      <x:c r="P131" s="40" t="str">
        <x:v>R09</x:v>
      </x:c>
      <x:c r="Q131" s="40" t="str">
        <x:v>https://code.org/oceans</x:v>
      </x:c>
      <x:c r="R131" s="40" t="str">
        <x:v>請孩子回答：1. 標籤與訓練資料：老師教錯會怎樣在解決什麼？2. 我怎麼做？3. 哪裡容易錯？4. 生活中哪裡會用到？</x:v>
      </x:c>
      <x:c r="S131" s="40" t="str">
        <x:v>父子科技課 #130｜標籤與訓練資料：老師教錯會怎樣</x:v>
      </x:c>
      <x:c r="T131" s="40" t="n">
        <x:v>3</x:v>
      </x:c>
      <x:c r="U131" s="38" t="str">
        <x:v>標籤與訓練資料 老師教錯會怎樣 machine learning responsible AI beginner tutorial Teachable</x:v>
      </x:c>
      <x:c r="V131" s="38" t="str">
        <x:v>https://www.youtube.com/results?search_query=%E6%A8%99%E7%B1%A4%E8%88%87%E8%A8%93%E7%B7%B4%E8%B3%87%E6%96%99+%E8%80%81%E5%B8%AB%E6%95%99%E9%8C%AF%E6%9C%83%E6%80%8E%E6%A8%A3+machine+learning+responsible+AI+beginner+tutorial+Teachable</x:v>
      </x:c>
      <x:c r="W131" s="38" t="str">
        <x:v>課前暖身</x:v>
      </x:c>
      <x:c r="X131" s="38" t="str">
        <x:v>標籤與訓練資料 老師教錯會怎樣 理解 label、feature、樣本平衡與資料品質 hands on project for kids machine learning responsible AI</x:v>
      </x:c>
      <x:c r="Y131" s="38" t="str">
        <x:v>https://www.youtube.com/results?search_query=%E6%A8%99%E7%B1%A4%E8%88%87%E8%A8%93%E7%B7%B4%E8%B3%87%E6%96%99+%E8%80%81%E5%B8%AB%E6%95%99%E9%8C%AF%E6%9C%83%E6%80%8E%E6%A8%A3+%E7%90%86%E8%A7%A3+label%E3%80%81feature%E3%80%81%E6%A8%A3%E6%9C%AC%E5%B9%B3%E8%A1%A1%E8%88%87%E8%B3%87%E6%96%99%E5%93%81%E8%B3%AA+hands+on+project+for+kids+machine+learning+responsible+AI</x:v>
      </x:c>
      <x:c r="Z131" s="38" t="str">
        <x:v>課中實作參考</x:v>
      </x:c>
      <x:c r="AA131" s="38" t="str">
        <x:v>標籤與訓練資料 老師教錯會怎樣 中文 教學 原理 安全 親子 machine learning responsible AI</x:v>
      </x:c>
      <x:c r="AB131" s="38" t="str">
        <x:v>https://www.youtube.com/results?search_query=%E6%A8%99%E7%B1%A4%E8%88%87%E8%A8%93%E7%B7%B4%E8%B3%87%E6%96%99+%E8%80%81%E5%B8%AB%E6%95%99%E9%8C%AF%E6%9C%83%E6%80%8E%E6%A8%A3+%E4%B8%AD%E6%96%87+%E6%95%99%E5%AD%B8+%E5%8E%9F%E7%90%86+%E5%AE%89%E5%85%A8+%E8%A6%AA%E5%AD%90+machine+learning+responsible+AI</x:v>
      </x:c>
      <x:c r="AC131" s="38" t="str">
        <x:v>課後延伸／親子討論</x:v>
      </x:c>
    </x:row>
    <x:row r="132" ht="105" customHeight="1">
      <x:c r="A132" s="40" t="n">
        <x:v>131</x:v>
      </x:c>
      <x:c r="B132" s="40" t="str">
        <x:v>第 3 年</x:v>
      </x:c>
      <x:c r="C132" s="40" t="str">
        <x:v>M09 機器學習、生成式 AI 與責任</x:v>
      </x:c>
      <x:c r="D132" s="40" t="n">
        <x:v>3</x:v>
      </x:c>
      <x:c r="E132" s="40" t="str">
        <x:v>影像分類：教電腦認爸爸和物品</x:v>
      </x:c>
      <x:c r="F132" s="40" t="str">
        <x:v>機器學習／神經網路／LLM／偏差／評估</x:v>
      </x:c>
      <x:c r="G132" s="40" t="str">
        <x:v>完成收集、訓練、測試與改善循環</x:v>
      </x:c>
      <x:c r="H132" s="40" t="str">
        <x:v>00–10 任務開場：影像分類：教電腦認爸爸和物品
10–25 概念示範：完成收集、訓練、測試與改善循環
25–65 父子共同實作：以不同背景與角度訓練兩類物品模型
65–75 休息／走動／聊天
75–105 孩子獨立改造：增加一個自選規則或功能
105–115 角色互換：孩子教爸爸操作與原理
115–120 錄音總結、作品命名、版本存檔</x:v>
      </x:c>
      <x:c r="I132" s="40" t="str">
        <x:v>以不同背景與角度訓練兩類物品模型</x:v>
      </x:c>
      <x:c r="J132" s="40" t="str">
        <x:v>模型攻防</x:v>
      </x:c>
      <x:c r="K132" s="40" t="str">
        <x:v>影像分類模型</x:v>
      </x:c>
      <x:c r="L132" s="40" t="str">
        <x:v>責任與公平</x:v>
      </x:c>
      <x:c r="M132" s="40" t="str">
        <x:v>確認鏡頭/麥克風與瀏覽器權限；訓練資料不得含未同意的個資。</x:v>
      </x:c>
      <x:c r="N132" s="40" t="str">
        <x:v>15–30 分鐘自由改造；寫三句學習日誌：我做了什麼、哪裡卡住、下次想加什麼。</x:v>
      </x:c>
      <x:c r="O132" s="40" t="str">
        <x:v>完成「影像分類模型」；能不用看稿說出核心原理；能指出至少一個錯誤、限制或安全注意事項。</x:v>
      </x:c>
      <x:c r="P132" s="40" t="str">
        <x:v>R10</x:v>
      </x:c>
      <x:c r="Q132" s="40" t="str">
        <x:v>https://teachablemachine.withgoogle.com/</x:v>
      </x:c>
      <x:c r="R132" s="40" t="str">
        <x:v>請孩子回答：1. 影像分類：教電腦認爸爸和物品在解決什麼？2. 我怎麼做？3. 哪裡容易錯？4. 生活中哪裡會用到？</x:v>
      </x:c>
      <x:c r="S132" s="40" t="str">
        <x:v>父子科技課 #131｜影像分類：教電腦認爸爸和物品</x:v>
      </x:c>
      <x:c r="T132" s="40" t="n">
        <x:v>3</x:v>
      </x:c>
      <x:c r="U132" s="38" t="str">
        <x:v>影像分類 教電腦認爸爸和物品 machine learning responsible AI beginner tutorial Teachable</x:v>
      </x:c>
      <x:c r="V132" s="38" t="str">
        <x:v>https://www.youtube.com/results?search_query=%E5%BD%B1%E5%83%8F%E5%88%86%E9%A1%9E+%E6%95%99%E9%9B%BB%E8%85%A6%E8%AA%8D%E7%88%B8%E7%88%B8%E5%92%8C%E7%89%A9%E5%93%81+machine+learning+responsible+AI+beginner+tutorial+Teachable</x:v>
      </x:c>
      <x:c r="W132" s="38" t="str">
        <x:v>課前暖身</x:v>
      </x:c>
      <x:c r="X132" s="38" t="str">
        <x:v>影像分類 教電腦認爸爸和物品 完成收集、訓練、測試與改善循環 hands on project for kids machine learning responsible AI</x:v>
      </x:c>
      <x:c r="Y132" s="38" t="str">
        <x:v>https://www.youtube.com/results?search_query=%E5%BD%B1%E5%83%8F%E5%88%86%E9%A1%9E+%E6%95%99%E9%9B%BB%E8%85%A6%E8%AA%8D%E7%88%B8%E7%88%B8%E5%92%8C%E7%89%A9%E5%93%81+%E5%AE%8C%E6%88%90%E6%94%B6%E9%9B%86%E3%80%81%E8%A8%93%E7%B7%B4%E3%80%81%E6%B8%AC%E8%A9%A6%E8%88%87%E6%94%B9%E5%96%84%E5%BE%AA%E7%92%B0+hands+on+project+for+kids+machine+learning+responsible+AI</x:v>
      </x:c>
      <x:c r="Z132" s="38" t="str">
        <x:v>課中實作參考</x:v>
      </x:c>
      <x:c r="AA132" s="38" t="str">
        <x:v>影像分類 教電腦認爸爸和物品 中文 教學 原理 安全 親子 machine learning responsible AI</x:v>
      </x:c>
      <x:c r="AB132" s="38" t="str">
        <x:v>https://www.youtube.com/results?search_query=%E5%BD%B1%E5%83%8F%E5%88%86%E9%A1%9E+%E6%95%99%E9%9B%BB%E8%85%A6%E8%AA%8D%E7%88%B8%E7%88%B8%E5%92%8C%E7%89%A9%E5%93%81+%E4%B8%AD%E6%96%87+%E6%95%99%E5%AD%B8+%E5%8E%9F%E7%90%86+%E5%AE%89%E5%85%A8+%E8%A6%AA%E5%AD%90+machine+learning+responsible+AI</x:v>
      </x:c>
      <x:c r="AC132" s="38" t="str">
        <x:v>課後延伸／親子討論</x:v>
      </x:c>
    </x:row>
    <x:row r="133" ht="105" customHeight="1">
      <x:c r="A133" s="40" t="n">
        <x:v>132</x:v>
      </x:c>
      <x:c r="B133" s="40" t="str">
        <x:v>第 3 年</x:v>
      </x:c>
      <x:c r="C133" s="40" t="str">
        <x:v>M09 機器學習、生成式 AI 與責任</x:v>
      </x:c>
      <x:c r="D133" s="40" t="n">
        <x:v>4</x:v>
      </x:c>
      <x:c r="E133" s="40" t="str">
        <x:v>聲音模型：掌聲、口令與背景噪音</x:v>
      </x:c>
      <x:c r="F133" s="40" t="str">
        <x:v>機器學習／神經網路／LLM／偏差／評估</x:v>
      </x:c>
      <x:c r="G133" s="40" t="str">
        <x:v>理解聲音樣本、環境差異與誤觸發</x:v>
      </x:c>
      <x:c r="H133" s="40" t="str">
        <x:v>00–10 任務開場：聲音模型：掌聲、口令與背景噪音
10–25 概念示範：理解聲音樣本、環境差異與誤觸發
25–65 父子共同實作：訓練三種聲音，加入風扇/音樂做壓力測試
65–75 休息／走動／聊天
75–105 孩子獨立改造：增加一個自選規則或功能
105–115 角色互換：孩子教爸爸操作與原理
115–120 錄音總結、作品命名、版本存檔</x:v>
      </x:c>
      <x:c r="I133" s="40" t="str">
        <x:v>訓練三種聲音，加入風扇/音樂做壓力測試</x:v>
      </x:c>
      <x:c r="J133" s="40" t="str">
        <x:v>Demo Day</x:v>
      </x:c>
      <x:c r="K133" s="40" t="str">
        <x:v>聲音控制器原型</x:v>
      </x:c>
      <x:c r="L133" s="40" t="str">
        <x:v>責任與公平</x:v>
      </x:c>
      <x:c r="M133" s="40" t="str">
        <x:v>確認鏡頭/麥克風與瀏覽器權限；訓練資料不得含未同意的個資。</x:v>
      </x:c>
      <x:c r="N133" s="40" t="str">
        <x:v>15–30 分鐘自由改造；寫三句學習日誌：我做了什麼、哪裡卡住、下次想加什麼。</x:v>
      </x:c>
      <x:c r="O133" s="40" t="str">
        <x:v>完成「聲音控制器原型」；能不用看稿說出核心原理；能指出至少一個錯誤、限制或安全注意事項。</x:v>
      </x:c>
      <x:c r="P133" s="40" t="str">
        <x:v>R10</x:v>
      </x:c>
      <x:c r="Q133" s="40" t="str">
        <x:v>https://teachablemachine.withgoogle.com/</x:v>
      </x:c>
      <x:c r="R133" s="40" t="str">
        <x:v>請孩子回答：1. 聲音模型：掌聲、口令與背景噪音在解決什麼？2. 我怎麼做？3. 哪裡容易錯？4. 生活中哪裡會用到？</x:v>
      </x:c>
      <x:c r="S133" s="40" t="str">
        <x:v>父子科技課 #132｜聲音模型：掌聲、口令與背景噪音</x:v>
      </x:c>
      <x:c r="T133" s="40" t="n">
        <x:v>3</x:v>
      </x:c>
      <x:c r="U133" s="38" t="str">
        <x:v>聲音模型 掌聲、口令與背景噪音 machine learning responsible AI beginner tutorial Teachable</x:v>
      </x:c>
      <x:c r="V133" s="38" t="str">
        <x:v>https://www.youtube.com/results?search_query=%E8%81%B2%E9%9F%B3%E6%A8%A1%E5%9E%8B+%E6%8E%8C%E8%81%B2%E3%80%81%E5%8F%A3%E4%BB%A4%E8%88%87%E8%83%8C%E6%99%AF%E5%99%AA%E9%9F%B3+machine+learning+responsible+AI+beginner+tutorial+Teachable</x:v>
      </x:c>
      <x:c r="W133" s="38" t="str">
        <x:v>課前暖身</x:v>
      </x:c>
      <x:c r="X133" s="38" t="str">
        <x:v>聲音模型 掌聲、口令與背景噪音 理解聲音樣本、環境差異與誤觸發 hands on project for kids machine learning responsible AI</x:v>
      </x:c>
      <x:c r="Y133" s="38" t="str">
        <x:v>https://www.youtube.com/results?search_query=%E8%81%B2%E9%9F%B3%E6%A8%A1%E5%9E%8B+%E6%8E%8C%E8%81%B2%E3%80%81%E5%8F%A3%E4%BB%A4%E8%88%87%E8%83%8C%E6%99%AF%E5%99%AA%E9%9F%B3+%E7%90%86%E8%A7%A3%E8%81%B2%E9%9F%B3%E6%A8%A3%E6%9C%AC%E3%80%81%E7%92%B0%E5%A2%83%E5%B7%AE%E7%95%B0%E8%88%87%E8%AA%A4%E8%A7%B8%E7%99%BC+hands+on+project+for+kids+machine+learning+responsible+AI</x:v>
      </x:c>
      <x:c r="Z133" s="38" t="str">
        <x:v>課中實作參考</x:v>
      </x:c>
      <x:c r="AA133" s="38" t="str">
        <x:v>聲音模型 掌聲、口令與背景噪音 中文 教學 原理 安全 親子 machine learning responsible AI</x:v>
      </x:c>
      <x:c r="AB133" s="38" t="str">
        <x:v>https://www.youtube.com/results?search_query=%E8%81%B2%E9%9F%B3%E6%A8%A1%E5%9E%8B+%E6%8E%8C%E8%81%B2%E3%80%81%E5%8F%A3%E4%BB%A4%E8%88%87%E8%83%8C%E6%99%AF%E5%99%AA%E9%9F%B3+%E4%B8%AD%E6%96%87+%E6%95%99%E5%AD%B8+%E5%8E%9F%E7%90%86+%E5%AE%89%E5%85%A8+%E8%A6%AA%E5%AD%90+machine+learning+responsible+AI</x:v>
      </x:c>
      <x:c r="AC133" s="38" t="str">
        <x:v>課後延伸／親子討論</x:v>
      </x:c>
    </x:row>
    <x:row r="134" ht="105" customHeight="1">
      <x:c r="A134" s="40" t="n">
        <x:v>133</x:v>
      </x:c>
      <x:c r="B134" s="40" t="str">
        <x:v>第 3 年</x:v>
      </x:c>
      <x:c r="C134" s="40" t="str">
        <x:v>M09 機器學習、生成式 AI 與責任</x:v>
      </x:c>
      <x:c r="D134" s="40" t="n">
        <x:v>5</x:v>
      </x:c>
      <x:c r="E134" s="40" t="str">
        <x:v>姿勢模型：人體就是控制器</x:v>
      </x:c>
      <x:c r="F134" s="40" t="str">
        <x:v>機器學習／神經網路／LLM／偏差／評估</x:v>
      </x:c>
      <x:c r="G134" s="40" t="str">
        <x:v>理解姿勢資料、鏡頭角度與個體差異</x:v>
      </x:c>
      <x:c r="H134" s="40" t="str">
        <x:v>00–10 任務開場：姿勢模型：人體就是控制器
10–25 概念示範：理解姿勢資料、鏡頭角度與個體差異
25–65 父子共同實作：用三種姿勢控制投影片或遊戲角色
65–75 休息／走動／聊天
75–105 孩子獨立改造：增加一個自選規則或功能
105–115 角色互換：孩子教爸爸操作與原理
115–120 錄音總結、作品命名、版本存檔</x:v>
      </x:c>
      <x:c r="I134" s="40" t="str">
        <x:v>用三種姿勢控制投影片或遊戲角色</x:v>
      </x:c>
      <x:c r="J134" s="40" t="str">
        <x:v>人肉模型</x:v>
      </x:c>
      <x:c r="K134" s="40" t="str">
        <x:v>姿勢控制 Demo</x:v>
      </x:c>
      <x:c r="L134" s="40" t="str">
        <x:v>責任與公平</x:v>
      </x:c>
      <x:c r="M134" s="40" t="str">
        <x:v>確認鏡頭/麥克風與瀏覽器權限；訓練資料不得含未同意的個資。</x:v>
      </x:c>
      <x:c r="N134" s="40" t="str">
        <x:v>15–30 分鐘自由改造；寫三句學習日誌：我做了什麼、哪裡卡住、下次想加什麼。</x:v>
      </x:c>
      <x:c r="O134" s="40" t="str">
        <x:v>完成「姿勢控制 Demo」；能不用看稿說出核心原理；能指出至少一個錯誤、限制或安全注意事項。</x:v>
      </x:c>
      <x:c r="P134" s="40" t="str">
        <x:v>R10</x:v>
      </x:c>
      <x:c r="Q134" s="40" t="str">
        <x:v>https://teachablemachine.withgoogle.com/</x:v>
      </x:c>
      <x:c r="R134" s="40" t="str">
        <x:v>請孩子回答：1. 姿勢模型：人體就是控制器在解決什麼？2. 我怎麼做？3. 哪裡容易錯？4. 生活中哪裡會用到？</x:v>
      </x:c>
      <x:c r="S134" s="40" t="str">
        <x:v>父子科技課 #133｜姿勢模型：人體就是控制器</x:v>
      </x:c>
      <x:c r="T134" s="40" t="n">
        <x:v>3</x:v>
      </x:c>
      <x:c r="U134" s="38" t="str">
        <x:v>姿勢模型 人體就是控制器 machine learning responsible AI beginner tutorial Teachable</x:v>
      </x:c>
      <x:c r="V134" s="38" t="str">
        <x:v>https://www.youtube.com/results?search_query=%E5%A7%BF%E5%8B%A2%E6%A8%A1%E5%9E%8B+%E4%BA%BA%E9%AB%94%E5%B0%B1%E6%98%AF%E6%8E%A7%E5%88%B6%E5%99%A8+machine+learning+responsible+AI+beginner+tutorial+Teachable</x:v>
      </x:c>
      <x:c r="W134" s="38" t="str">
        <x:v>課前暖身</x:v>
      </x:c>
      <x:c r="X134" s="38" t="str">
        <x:v>姿勢模型 人體就是控制器 理解姿勢資料、鏡頭角度與個體差異 hands on project for kids machine learning responsible AI</x:v>
      </x:c>
      <x:c r="Y134" s="38" t="str">
        <x:v>https://www.youtube.com/results?search_query=%E5%A7%BF%E5%8B%A2%E6%A8%A1%E5%9E%8B+%E4%BA%BA%E9%AB%94%E5%B0%B1%E6%98%AF%E6%8E%A7%E5%88%B6%E5%99%A8+%E7%90%86%E8%A7%A3%E5%A7%BF%E5%8B%A2%E8%B3%87%E6%96%99%E3%80%81%E9%8F%A1%E9%A0%AD%E8%A7%92%E5%BA%A6%E8%88%87%E5%80%8B%E9%AB%94%E5%B7%AE%E7%95%B0+hands+on+project+for+kids+machine+learning+responsible+AI</x:v>
      </x:c>
      <x:c r="Z134" s="38" t="str">
        <x:v>課中實作參考</x:v>
      </x:c>
      <x:c r="AA134" s="38" t="str">
        <x:v>姿勢模型 人體就是控制器 中文 教學 原理 安全 親子 machine learning responsible AI</x:v>
      </x:c>
      <x:c r="AB134" s="38" t="str">
        <x:v>https://www.youtube.com/results?search_query=%E5%A7%BF%E5%8B%A2%E6%A8%A1%E5%9E%8B+%E4%BA%BA%E9%AB%94%E5%B0%B1%E6%98%AF%E6%8E%A7%E5%88%B6%E5%99%A8+%E4%B8%AD%E6%96%87+%E6%95%99%E5%AD%B8+%E5%8E%9F%E7%90%86+%E5%AE%89%E5%85%A8+%E8%A6%AA%E5%AD%90+machine+learning+responsible+AI</x:v>
      </x:c>
      <x:c r="AC134" s="38" t="str">
        <x:v>課後延伸／親子討論</x:v>
      </x:c>
    </x:row>
    <x:row r="135" ht="105" customHeight="1">
      <x:c r="A135" s="40" t="n">
        <x:v>134</x:v>
      </x:c>
      <x:c r="B135" s="40" t="str">
        <x:v>第 3 年</x:v>
      </x:c>
      <x:c r="C135" s="40" t="str">
        <x:v>M09 機器學習、生成式 AI 與責任</x:v>
      </x:c>
      <x:c r="D135" s="40" t="n">
        <x:v>6</x:v>
      </x:c>
      <x:c r="E135" s="40" t="str">
        <x:v>Train／Validation／Test 三種考卷</x:v>
      </x:c>
      <x:c r="F135" s="40" t="str">
        <x:v>機器學習／神經網路／LLM／偏差／評估</x:v>
      </x:c>
      <x:c r="G135" s="40" t="str">
        <x:v>理解不能用同一批資料教學又評分</x:v>
      </x:c>
      <x:c r="H135" s="40" t="str">
        <x:v>00–10 任務開場：Train／Validation／Test 三種考卷
10–25 概念示範：理解不能用同一批資料教學又評分
25–65 父子共同實作：用卡牌分資料，模擬過度背答案與真正泛化
65–75 休息／走動／聊天
75–105 孩子獨立改造：增加一個自選規則或功能
105–115 角色互換：孩子教爸爸操作與原理
115–120 錄音總結、作品命名、版本存檔</x:v>
      </x:c>
      <x:c r="I135" s="40" t="str">
        <x:v>用卡牌分資料，模擬過度背答案與真正泛化</x:v>
      </x:c>
      <x:c r="J135" s="40" t="str">
        <x:v>偏差挑戰</x:v>
      </x:c>
      <x:c r="K135" s="40" t="str">
        <x:v>資料切分圖</x:v>
      </x:c>
      <x:c r="L135" s="40" t="str">
        <x:v>責任與公平</x:v>
      </x:c>
      <x:c r="M135" s="40" t="str">
        <x:v>確認鏡頭/麥克風與瀏覽器權限；訓練資料不得含未同意的個資。</x:v>
      </x:c>
      <x:c r="N135" s="40" t="str">
        <x:v>15–30 分鐘自由改造；寫三句學習日誌：我做了什麼、哪裡卡住、下次想加什麼。</x:v>
      </x:c>
      <x:c r="O135" s="40" t="str">
        <x:v>完成「資料切分圖」；能不用看稿說出核心原理；能指出至少一個錯誤、限制或安全注意事項。</x:v>
      </x:c>
      <x:c r="P135" s="40" t="str">
        <x:v>R08</x:v>
      </x:c>
      <x:c r="Q135" s="40" t="str">
        <x:v>https://raise.mit.edu/resources/</x:v>
      </x:c>
      <x:c r="R135" s="40" t="str">
        <x:v>請孩子回答：1. Train／Validation／Test 三種考卷在解決什麼？2. 我怎麼做？3. 哪裡容易錯？4. 生活中哪裡會用到？</x:v>
      </x:c>
      <x:c r="S135" s="40" t="str">
        <x:v>父子科技課 #134｜Train／Validation／Test 三種考卷</x:v>
      </x:c>
      <x:c r="T135" s="40" t="n">
        <x:v>3</x:v>
      </x:c>
      <x:c r="U135" s="38" t="str">
        <x:v>Train Validation Test 三種考卷 machine learning responsible AI beginner tutorial Teachable</x:v>
      </x:c>
      <x:c r="V135" s="38" t="str">
        <x:v>https://www.youtube.com/results?search_query=Train+Validation+Test+%E4%B8%89%E7%A8%AE%E8%80%83%E5%8D%B7+machine+learning+responsible+AI+beginner+tutorial+Teachable</x:v>
      </x:c>
      <x:c r="W135" s="38" t="str">
        <x:v>課前暖身</x:v>
      </x:c>
      <x:c r="X135" s="38" t="str">
        <x:v>Train Validation Test 三種考卷 理解不能用同一批資料教學又評分 hands on project for kids machine learning responsible AI</x:v>
      </x:c>
      <x:c r="Y135" s="38" t="str">
        <x:v>https://www.youtube.com/results?search_query=Train+Validation+Test+%E4%B8%89%E7%A8%AE%E8%80%83%E5%8D%B7+%E7%90%86%E8%A7%A3%E4%B8%8D%E8%83%BD%E7%94%A8%E5%90%8C%E4%B8%80%E6%89%B9%E8%B3%87%E6%96%99%E6%95%99%E5%AD%B8%E5%8F%88%E8%A9%95%E5%88%86+hands+on+project+for+kids+machine+learning+responsible+AI</x:v>
      </x:c>
      <x:c r="Z135" s="38" t="str">
        <x:v>課中實作參考</x:v>
      </x:c>
      <x:c r="AA135" s="38" t="str">
        <x:v>Train Validation Test 三種考卷 中文 教學 原理 安全 親子 machine learning responsible AI</x:v>
      </x:c>
      <x:c r="AB135" s="38" t="str">
        <x:v>https://www.youtube.com/results?search_query=Train+Validation+Test+%E4%B8%89%E7%A8%AE%E8%80%83%E5%8D%B7+%E4%B8%AD%E6%96%87+%E6%95%99%E5%AD%B8+%E5%8E%9F%E7%90%86+%E5%AE%89%E5%85%A8+%E8%A6%AA%E5%AD%90+machine+learning+responsible+AI</x:v>
      </x:c>
      <x:c r="AC135" s="38" t="str">
        <x:v>課後延伸／親子討論</x:v>
      </x:c>
    </x:row>
    <x:row r="136" ht="105" customHeight="1">
      <x:c r="A136" s="40" t="n">
        <x:v>135</x:v>
      </x:c>
      <x:c r="B136" s="40" t="str">
        <x:v>第 3 年</x:v>
      </x:c>
      <x:c r="C136" s="40" t="str">
        <x:v>M09 機器學習、生成式 AI 與責任</x:v>
      </x:c>
      <x:c r="D136" s="40" t="n">
        <x:v>7</x:v>
      </x:c>
      <x:c r="E136" s="40" t="str">
        <x:v>混淆矩陣：錯在哪一類</x:v>
      </x:c>
      <x:c r="F136" s="40" t="str">
        <x:v>機器學習／神經網路／LLM／偏差／評估</x:v>
      </x:c>
      <x:c r="G136" s="40" t="str">
        <x:v>理解 TP/FP/FN 的直覺與不同錯誤成本</x:v>
      </x:c>
      <x:c r="H136" s="40" t="str">
        <x:v>00–10 任務開場：混淆矩陣：錯在哪一類
10–25 概念示範：理解 TP/FP/FN 的直覺與不同錯誤成本
25–65 父子共同實作：分析門禁、疾病篩檢與垃圾分類三種情境
65–75 休息／走動／聊天
75–105 孩子獨立改造：增加一個自選規則或功能
105–115 角色互換：孩子教爸爸操作與原理
115–120 錄音總結、作品命名、版本存檔</x:v>
      </x:c>
      <x:c r="I136" s="40" t="str">
        <x:v>分析門禁、疾病篩檢與垃圾分類三種情境</x:v>
      </x:c>
      <x:c r="J136" s="40" t="str">
        <x:v>模型攻防</x:v>
      </x:c>
      <x:c r="K136" s="40" t="str">
        <x:v>錯誤成本表</x:v>
      </x:c>
      <x:c r="L136" s="40" t="str">
        <x:v>責任與公平</x:v>
      </x:c>
      <x:c r="M136" s="40" t="str">
        <x:v>確認鏡頭/麥克風與瀏覽器權限；訓練資料不得含未同意的個資。</x:v>
      </x:c>
      <x:c r="N136" s="40" t="str">
        <x:v>15–30 分鐘自由改造；寫三句學習日誌：我做了什麼、哪裡卡住、下次想加什麼。</x:v>
      </x:c>
      <x:c r="O136" s="40" t="str">
        <x:v>完成「錯誤成本表」；能不用看稿說出核心原理；能指出至少一個錯誤、限制或安全注意事項。</x:v>
      </x:c>
      <x:c r="P136" s="40" t="str">
        <x:v>R08</x:v>
      </x:c>
      <x:c r="Q136" s="40" t="str">
        <x:v>https://raise.mit.edu/resources/</x:v>
      </x:c>
      <x:c r="R136" s="40" t="str">
        <x:v>請孩子回答：1. 混淆矩陣：錯在哪一類在解決什麼？2. 我怎麼做？3. 哪裡容易錯？4. 生活中哪裡會用到？</x:v>
      </x:c>
      <x:c r="S136" s="40" t="str">
        <x:v>父子科技課 #135｜混淆矩陣：錯在哪一類</x:v>
      </x:c>
      <x:c r="T136" s="40" t="n">
        <x:v>3</x:v>
      </x:c>
      <x:c r="U136" s="38" t="str">
        <x:v>混淆矩陣 錯在哪一類 machine learning responsible AI beginner tutorial Teachable</x:v>
      </x:c>
      <x:c r="V136" s="38" t="str">
        <x:v>https://www.youtube.com/results?search_query=%E6%B7%B7%E6%B7%86%E7%9F%A9%E9%99%A3+%E9%8C%AF%E5%9C%A8%E5%93%AA%E4%B8%80%E9%A1%9E+machine+learning+responsible+AI+beginner+tutorial+Teachable</x:v>
      </x:c>
      <x:c r="W136" s="38" t="str">
        <x:v>課前暖身</x:v>
      </x:c>
      <x:c r="X136" s="38" t="str">
        <x:v>混淆矩陣 錯在哪一類 理解 TP/FP/FN 的直覺與不同錯誤成本 hands on project for kids machine learning responsible AI</x:v>
      </x:c>
      <x:c r="Y136" s="38" t="str">
        <x:v>https://www.youtube.com/results?search_query=%E6%B7%B7%E6%B7%86%E7%9F%A9%E9%99%A3+%E9%8C%AF%E5%9C%A8%E5%93%AA%E4%B8%80%E9%A1%9E+%E7%90%86%E8%A7%A3+TP%2FFP%2FFN+%E7%9A%84%E7%9B%B4%E8%A6%BA%E8%88%87%E4%B8%8D%E5%90%8C%E9%8C%AF%E8%AA%A4%E6%88%90%E6%9C%AC+hands+on+project+for+kids+machine+learning+responsible+AI</x:v>
      </x:c>
      <x:c r="Z136" s="38" t="str">
        <x:v>課中實作參考</x:v>
      </x:c>
      <x:c r="AA136" s="38" t="str">
        <x:v>混淆矩陣 錯在哪一類 中文 教學 原理 安全 親子 machine learning responsible AI</x:v>
      </x:c>
      <x:c r="AB136" s="38" t="str">
        <x:v>https://www.youtube.com/results?search_query=%E6%B7%B7%E6%B7%86%E7%9F%A9%E9%99%A3+%E9%8C%AF%E5%9C%A8%E5%93%AA%E4%B8%80%E9%A1%9E+%E4%B8%AD%E6%96%87+%E6%95%99%E5%AD%B8+%E5%8E%9F%E7%90%86+%E5%AE%89%E5%85%A8+%E8%A6%AA%E5%AD%90+machine+learning+responsible+AI</x:v>
      </x:c>
      <x:c r="AC136" s="38" t="str">
        <x:v>課後延伸／親子討論</x:v>
      </x:c>
    </x:row>
    <x:row r="137" ht="105" customHeight="1">
      <x:c r="A137" s="40" t="n">
        <x:v>136</x:v>
      </x:c>
      <x:c r="B137" s="40" t="str">
        <x:v>第 3 年</x:v>
      </x:c>
      <x:c r="C137" s="40" t="str">
        <x:v>M09 機器學習、生成式 AI 與責任</x:v>
      </x:c>
      <x:c r="D137" s="40" t="n">
        <x:v>8</x:v>
      </x:c>
      <x:c r="E137" s="40" t="str">
        <x:v>偏差與公平：誰被資料漏掉了</x:v>
      </x:c>
      <x:c r="F137" s="40" t="str">
        <x:v>機器學習／神經網路／LLM／偏差／評估</x:v>
      </x:c>
      <x:c r="G137" s="40" t="str">
        <x:v>辨識代表性不足、標籤偏見與部署情境差異</x:v>
      </x:c>
      <x:c r="H137" s="40" t="str">
        <x:v>00–10 任務開場：偏差與公平：誰被資料漏掉了
10–25 概念示範：辨識代表性不足、標籤偏見與部署情境差異
25–65 父子共同實作：改造一個只在單一光線/單一人身上有效的模型
65–75 休息／走動／聊天
75–105 孩子獨立改造：增加一個自選規則或功能
105–115 角色互換：孩子教爸爸操作與原理
115–120 錄音總結、作品命名、版本存檔</x:v>
      </x:c>
      <x:c r="I137" s="40" t="str">
        <x:v>改造一個只在單一光線/單一人身上有效的模型</x:v>
      </x:c>
      <x:c r="J137" s="40" t="str">
        <x:v>Demo Day</x:v>
      </x:c>
      <x:c r="K137" s="40" t="str">
        <x:v>偏差修正報告</x:v>
      </x:c>
      <x:c r="L137" s="40" t="str">
        <x:v>資訊判讀</x:v>
      </x:c>
      <x:c r="M137" s="40" t="str">
        <x:v>確認鏡頭/麥克風與瀏覽器權限；訓練資料不得含未同意的個資。</x:v>
      </x:c>
      <x:c r="N137" s="40" t="str">
        <x:v>15–30 分鐘自由改造；寫三句學習日誌：我做了什麼、哪裡卡住、下次想加什麼。</x:v>
      </x:c>
      <x:c r="O137" s="40" t="str">
        <x:v>完成「偏差修正報告」；能不用看稿說出核心原理；能指出至少一個錯誤、限制或安全注意事項。</x:v>
      </x:c>
      <x:c r="P137" s="40" t="str">
        <x:v>R07</x:v>
      </x:c>
      <x:c r="Q137" s="40" t="str">
        <x:v>https://dayofai.org/</x:v>
      </x:c>
      <x:c r="R137" s="40" t="str">
        <x:v>請孩子回答：1. 偏差與公平：誰被資料漏掉了在解決什麼？2. 我怎麼做？3. 哪裡容易錯？4. 生活中哪裡會用到？</x:v>
      </x:c>
      <x:c r="S137" s="40" t="str">
        <x:v>父子科技課 #136｜偏差與公平：誰被資料漏掉了</x:v>
      </x:c>
      <x:c r="T137" s="40" t="n">
        <x:v>3</x:v>
      </x:c>
      <x:c r="U137" s="38" t="str">
        <x:v>偏差與公平 誰被資料漏掉了 machine learning responsible AI beginner tutorial Teachable</x:v>
      </x:c>
      <x:c r="V137" s="38" t="str">
        <x:v>https://www.youtube.com/results?search_query=%E5%81%8F%E5%B7%AE%E8%88%87%E5%85%AC%E5%B9%B3+%E8%AA%B0%E8%A2%AB%E8%B3%87%E6%96%99%E6%BC%8F%E6%8E%89%E4%BA%86+machine+learning+responsible+AI+beginner+tutorial+Teachable</x:v>
      </x:c>
      <x:c r="W137" s="38" t="str">
        <x:v>課前暖身</x:v>
      </x:c>
      <x:c r="X137" s="38" t="str">
        <x:v>偏差與公平 誰被資料漏掉了 辨識代表性不足、標籤偏見與部署情境差異 hands on project for kids machine learning responsible AI</x:v>
      </x:c>
      <x:c r="Y137" s="38" t="str">
        <x:v>https://www.youtube.com/results?search_query=%E5%81%8F%E5%B7%AE%E8%88%87%E5%85%AC%E5%B9%B3+%E8%AA%B0%E8%A2%AB%E8%B3%87%E6%96%99%E6%BC%8F%E6%8E%89%E4%BA%86+%E8%BE%A8%E8%AD%98%E4%BB%A3%E8%A1%A8%E6%80%A7%E4%B8%8D%E8%B6%B3%E3%80%81%E6%A8%99%E7%B1%A4%E5%81%8F%E8%A6%8B%E8%88%87%E9%83%A8%E7%BD%B2%E6%83%85%E5%A2%83%E5%B7%AE%E7%95%B0+hands+on+project+for+kids+machine+learning+responsible+AI</x:v>
      </x:c>
      <x:c r="Z137" s="38" t="str">
        <x:v>課中實作參考</x:v>
      </x:c>
      <x:c r="AA137" s="38" t="str">
        <x:v>偏差與公平 誰被資料漏掉了 中文 教學 原理 安全 親子 machine learning responsible AI</x:v>
      </x:c>
      <x:c r="AB137" s="38" t="str">
        <x:v>https://www.youtube.com/results?search_query=%E5%81%8F%E5%B7%AE%E8%88%87%E5%85%AC%E5%B9%B3+%E8%AA%B0%E8%A2%AB%E8%B3%87%E6%96%99%E6%BC%8F%E6%8E%89%E4%BA%86+%E4%B8%AD%E6%96%87+%E6%95%99%E5%AD%B8+%E5%8E%9F%E7%90%86+%E5%AE%89%E5%85%A8+%E8%A6%AA%E5%AD%90+machine+learning+responsible+AI</x:v>
      </x:c>
      <x:c r="AC137" s="38" t="str">
        <x:v>課後延伸／親子討論</x:v>
      </x:c>
    </x:row>
    <x:row r="138" ht="105" customHeight="1">
      <x:c r="A138" s="40" t="n">
        <x:v>137</x:v>
      </x:c>
      <x:c r="B138" s="40" t="str">
        <x:v>第 3 年</x:v>
      </x:c>
      <x:c r="C138" s="40" t="str">
        <x:v>M09 機器學習、生成式 AI 與責任</x:v>
      </x:c>
      <x:c r="D138" s="40" t="n">
        <x:v>9</x:v>
      </x:c>
      <x:c r="E138" s="40" t="str">
        <x:v>神經網路直覺：很多小判斷接起來</x:v>
      </x:c>
      <x:c r="F138" s="40" t="str">
        <x:v>機器學習／神經網路／LLM／偏差／評估</x:v>
      </x:c>
      <x:c r="G138" s="40" t="str">
        <x:v>理解輸入、權重、隱藏層、輸出與訓練的概念</x:v>
      </x:c>
      <x:c r="H138" s="40" t="str">
        <x:v>00–10 任務開場：神經網路直覺：很多小判斷接起來
10–25 概念示範：理解輸入、權重、隱藏層、輸出與訓練的概念
25–65 父子共同實作：用人肉神經網路傳紙條，調整權重完成分類
65–75 休息／走動／聊天
75–105 孩子獨立改造：增加一個自選規則或功能
105–115 角色互換：孩子教爸爸操作與原理
115–120 錄音總結、作品命名、版本存檔</x:v>
      </x:c>
      <x:c r="I138" s="40" t="str">
        <x:v>用人肉神經網路傳紙條，調整權重完成分類</x:v>
      </x:c>
      <x:c r="J138" s="40" t="str">
        <x:v>人肉模型</x:v>
      </x:c>
      <x:c r="K138" s="40" t="str">
        <x:v>神經網路角色扮演圖</x:v>
      </x:c>
      <x:c r="L138" s="40" t="str">
        <x:v>責任與公平</x:v>
      </x:c>
      <x:c r="M138" s="40" t="str">
        <x:v>確認鏡頭/麥克風與瀏覽器權限；訓練資料不得含未同意的個資。</x:v>
      </x:c>
      <x:c r="N138" s="40" t="str">
        <x:v>15–30 分鐘自由改造；寫三句學習日誌：我做了什麼、哪裡卡住、下次想加什麼。</x:v>
      </x:c>
      <x:c r="O138" s="40" t="str">
        <x:v>完成「神經網路角色扮演圖」；能不用看稿說出核心原理；能指出至少一個錯誤、限制或安全注意事項。</x:v>
      </x:c>
      <x:c r="P138" s="40" t="str">
        <x:v>R08</x:v>
      </x:c>
      <x:c r="Q138" s="40" t="str">
        <x:v>https://raise.mit.edu/resources/</x:v>
      </x:c>
      <x:c r="R138" s="40" t="str">
        <x:v>請孩子回答：1. 神經網路直覺：很多小判斷接起來在解決什麼？2. 我怎麼做？3. 哪裡容易錯？4. 生活中哪裡會用到？</x:v>
      </x:c>
      <x:c r="S138" s="40" t="str">
        <x:v>父子科技課 #137｜神經網路直覺：很多小判斷接起來</x:v>
      </x:c>
      <x:c r="T138" s="40" t="n">
        <x:v>4</x:v>
      </x:c>
      <x:c r="U138" s="38" t="str">
        <x:v>神經網路直覺 很多小判斷接起來 machine learning responsible AI beginner tutorial Teachable</x:v>
      </x:c>
      <x:c r="V138" s="38" t="str">
        <x:v>https://www.youtube.com/results?search_query=%E7%A5%9E%E7%B6%93%E7%B6%B2%E8%B7%AF%E7%9B%B4%E8%A6%BA+%E5%BE%88%E5%A4%9A%E5%B0%8F%E5%88%A4%E6%96%B7%E6%8E%A5%E8%B5%B7%E4%BE%86+machine+learning+responsible+AI+beginner+tutorial+Teachable</x:v>
      </x:c>
      <x:c r="W138" s="38" t="str">
        <x:v>課前暖身</x:v>
      </x:c>
      <x:c r="X138" s="38" t="str">
        <x:v>神經網路直覺 很多小判斷接起來 理解輸入、權重、隱藏層、輸出與訓練的概念 hands on project for kids machine learning responsible AI</x:v>
      </x:c>
      <x:c r="Y138" s="38" t="str">
        <x:v>https://www.youtube.com/results?search_query=%E7%A5%9E%E7%B6%93%E7%B6%B2%E8%B7%AF%E7%9B%B4%E8%A6%BA+%E5%BE%88%E5%A4%9A%E5%B0%8F%E5%88%A4%E6%96%B7%E6%8E%A5%E8%B5%B7%E4%BE%86+%E7%90%86%E8%A7%A3%E8%BC%B8%E5%85%A5%E3%80%81%E6%AC%8A%E9%87%8D%E3%80%81%E9%9A%B1%E8%97%8F%E5%B1%A4%E3%80%81%E8%BC%B8%E5%87%BA%E8%88%87%E8%A8%93%E7%B7%B4%E7%9A%84%E6%A6%82%E5%BF%B5+hands+on+project+for+kids+machine+learning+responsible+AI</x:v>
      </x:c>
      <x:c r="Z138" s="38" t="str">
        <x:v>課中實作參考</x:v>
      </x:c>
      <x:c r="AA138" s="38" t="str">
        <x:v>神經網路直覺 很多小判斷接起來 中文 教學 原理 安全 親子 machine learning responsible AI</x:v>
      </x:c>
      <x:c r="AB138" s="38" t="str">
        <x:v>https://www.youtube.com/results?search_query=%E7%A5%9E%E7%B6%93%E7%B6%B2%E8%B7%AF%E7%9B%B4%E8%A6%BA+%E5%BE%88%E5%A4%9A%E5%B0%8F%E5%88%A4%E6%96%B7%E6%8E%A5%E8%B5%B7%E4%BE%86+%E4%B8%AD%E6%96%87+%E6%95%99%E5%AD%B8+%E5%8E%9F%E7%90%86+%E5%AE%89%E5%85%A8+%E8%A6%AA%E5%AD%90+machine+learning+responsible+AI</x:v>
      </x:c>
      <x:c r="AC138" s="38" t="str">
        <x:v>課後延伸／親子討論</x:v>
      </x:c>
    </x:row>
    <x:row r="139" ht="105" customHeight="1">
      <x:c r="A139" s="40" t="n">
        <x:v>138</x:v>
      </x:c>
      <x:c r="B139" s="40" t="str">
        <x:v>第 3 年</x:v>
      </x:c>
      <x:c r="C139" s="40" t="str">
        <x:v>M09 機器學習、生成式 AI 與責任</x:v>
      </x:c>
      <x:c r="D139" s="40" t="n">
        <x:v>10</x:v>
      </x:c>
      <x:c r="E139" s="40" t="str">
        <x:v>向量與 Embedding：把意思放進地圖</x:v>
      </x:c>
      <x:c r="F139" s="40" t="str">
        <x:v>機器學習／神經網路／LLM／偏差／評估</x:v>
      </x:c>
      <x:c r="G139" s="40" t="str">
        <x:v>用距離表示相似性，理解語意搜尋直覺</x:v>
      </x:c>
      <x:c r="H139" s="40" t="str">
        <x:v>00–10 任務開場：向量與 Embedding：把意思放進地圖
10–25 概念示範：用距離表示相似性，理解語意搜尋直覺
25–65 父子共同實作：把 20 張詞卡排成語意地圖並比較不同人的布局
65–75 休息／走動／聊天
75–105 孩子獨立改造：增加一個自選規則或功能
105–115 角色互換：孩子教爸爸操作與原理
115–120 錄音總結、作品命名、版本存檔</x:v>
      </x:c>
      <x:c r="I139" s="40" t="str">
        <x:v>把 20 張詞卡排成語意地圖並比較不同人的布局</x:v>
      </x:c>
      <x:c r="J139" s="40" t="str">
        <x:v>偏差挑戰</x:v>
      </x:c>
      <x:c r="K139" s="40" t="str">
        <x:v>語意地圖</x:v>
      </x:c>
      <x:c r="L139" s="40" t="str">
        <x:v>責任與公平</x:v>
      </x:c>
      <x:c r="M139" s="40" t="str">
        <x:v>確認鏡頭/麥克風與瀏覽器權限；訓練資料不得含未同意的個資。</x:v>
      </x:c>
      <x:c r="N139" s="40" t="str">
        <x:v>15–30 分鐘自由改造；寫三句學習日誌：我做了什麼、哪裡卡住、下次想加什麼。</x:v>
      </x:c>
      <x:c r="O139" s="40" t="str">
        <x:v>完成「語意地圖」；能不用看稿說出核心原理；能指出至少一個錯誤、限制或安全注意事項。</x:v>
      </x:c>
      <x:c r="P139" s="40" t="str">
        <x:v>R20</x:v>
      </x:c>
      <x:c r="Q139" s="40" t="str">
        <x:v>https://academy.openai.com/</x:v>
      </x:c>
      <x:c r="R139" s="40" t="str">
        <x:v>請孩子回答：1. 向量與 Embedding：把意思放進地圖在解決什麼？2. 我怎麼做？3. 哪裡容易錯？4. 生活中哪裡會用到？</x:v>
      </x:c>
      <x:c r="S139" s="40" t="str">
        <x:v>父子科技課 #138｜向量與 Embedding：把意思放進地圖</x:v>
      </x:c>
      <x:c r="T139" s="40" t="n">
        <x:v>4</x:v>
      </x:c>
      <x:c r="U139" s="38" t="str">
        <x:v>向量與 Embedding 把意思放進地圖 machine learning responsible AI beginner tutorial Teachable</x:v>
      </x:c>
      <x:c r="V139" s="38" t="str">
        <x:v>https://www.youtube.com/results?search_query=%E5%90%91%E9%87%8F%E8%88%87+Embedding+%E6%8A%8A%E6%84%8F%E6%80%9D%E6%94%BE%E9%80%B2%E5%9C%B0%E5%9C%96+machine+learning+responsible+AI+beginner+tutorial+Teachable</x:v>
      </x:c>
      <x:c r="W139" s="38" t="str">
        <x:v>課前暖身</x:v>
      </x:c>
      <x:c r="X139" s="38" t="str">
        <x:v>向量與 Embedding 把意思放進地圖 用距離表示相似性，理解語意搜尋直覺 hands on project for kids machine learning responsible AI</x:v>
      </x:c>
      <x:c r="Y139" s="38" t="str">
        <x:v>https://www.youtube.com/results?search_query=%E5%90%91%E9%87%8F%E8%88%87+Embedding+%E6%8A%8A%E6%84%8F%E6%80%9D%E6%94%BE%E9%80%B2%E5%9C%B0%E5%9C%96+%E7%94%A8%E8%B7%9D%E9%9B%A2%E8%A1%A8%E7%A4%BA%E7%9B%B8%E4%BC%BC%E6%80%A7%EF%BC%8C%E7%90%86%E8%A7%A3%E8%AA%9E%E6%84%8F%E6%90%9C%E5%B0%8B%E7%9B%B4%E8%A6%BA+hands+on+project+for+kids+machine+learning+responsible+AI</x:v>
      </x:c>
      <x:c r="Z139" s="38" t="str">
        <x:v>課中實作參考</x:v>
      </x:c>
      <x:c r="AA139" s="38" t="str">
        <x:v>向量與 Embedding 把意思放進地圖 中文 教學 原理 安全 親子 machine learning responsible AI</x:v>
      </x:c>
      <x:c r="AB139" s="38" t="str">
        <x:v>https://www.youtube.com/results?search_query=%E5%90%91%E9%87%8F%E8%88%87+Embedding+%E6%8A%8A%E6%84%8F%E6%80%9D%E6%94%BE%E9%80%B2%E5%9C%B0%E5%9C%96+%E4%B8%AD%E6%96%87+%E6%95%99%E5%AD%B8+%E5%8E%9F%E7%90%86+%E5%AE%89%E5%85%A8+%E8%A6%AA%E5%AD%90+machine+learning+responsible+AI</x:v>
      </x:c>
      <x:c r="AC139" s="38" t="str">
        <x:v>課後延伸／親子討論</x:v>
      </x:c>
    </x:row>
    <x:row r="140" ht="105" customHeight="1">
      <x:c r="A140" s="40" t="n">
        <x:v>139</x:v>
      </x:c>
      <x:c r="B140" s="40" t="str">
        <x:v>第 3 年</x:v>
      </x:c>
      <x:c r="C140" s="40" t="str">
        <x:v>M09 機器學習、生成式 AI 與責任</x:v>
      </x:c>
      <x:c r="D140" s="40" t="n">
        <x:v>11</x:v>
      </x:c>
      <x:c r="E140" s="40" t="str">
        <x:v>LLM：下一個 Token 預測機</x:v>
      </x:c>
      <x:c r="F140" s="40" t="str">
        <x:v>機器學習／神經網路／LLM／偏差／評估</x:v>
      </x:c>
      <x:c r="G140" s="40" t="str">
        <x:v>理解 token、上下文、機率生成與非資料庫式回答</x:v>
      </x:c>
      <x:c r="H140" s="40" t="str">
        <x:v>00–10 任務開場：LLM：下一個 Token 預測機
10–25 概念示範：理解 token、上下文、機率生成與非資料庫式回答
25–65 父子共同實作：玩『接下一個詞』遊戲，觀察合理但不一定真實
65–75 休息／走動／聊天
75–105 孩子獨立改造：增加一個自選規則或功能
105–115 角色互換：孩子教爸爸操作與原理
115–120 錄音總結、作品命名、版本存檔</x:v>
      </x:c>
      <x:c r="I140" s="40" t="str">
        <x:v>玩『接下一個詞』遊戲，觀察合理但不一定真實</x:v>
      </x:c>
      <x:c r="J140" s="40" t="str">
        <x:v>模型攻防</x:v>
      </x:c>
      <x:c r="K140" s="40" t="str">
        <x:v>LLM 原理卡</x:v>
      </x:c>
      <x:c r="L140" s="40" t="str">
        <x:v>責任與公平</x:v>
      </x:c>
      <x:c r="M140" s="40" t="str">
        <x:v>確認鏡頭/麥克風與瀏覽器權限；訓練資料不得含未同意的個資。</x:v>
      </x:c>
      <x:c r="N140" s="40" t="str">
        <x:v>15–30 分鐘自由改造；寫三句學習日誌：我做了什麼、哪裡卡住、下次想加什麼。</x:v>
      </x:c>
      <x:c r="O140" s="40" t="str">
        <x:v>完成「LLM 原理卡」；能不用看稿說出核心原理；能指出至少一個錯誤、限制或安全注意事項。</x:v>
      </x:c>
      <x:c r="P140" s="40" t="str">
        <x:v>R20</x:v>
      </x:c>
      <x:c r="Q140" s="40" t="str">
        <x:v>https://academy.openai.com/</x:v>
      </x:c>
      <x:c r="R140" s="40" t="str">
        <x:v>請孩子回答：1. LLM：下一個 Token 預測機在解決什麼？2. 我怎麼做？3. 哪裡容易錯？4. 生活中哪裡會用到？</x:v>
      </x:c>
      <x:c r="S140" s="40" t="str">
        <x:v>父子科技課 #139｜LLM：下一個 Token 預測機</x:v>
      </x:c>
      <x:c r="T140" s="40" t="n">
        <x:v>4</x:v>
      </x:c>
      <x:c r="U140" s="38" t="str">
        <x:v>LLM 下一個 Token 預測機 machine learning responsible AI beginner tutorial Teachable</x:v>
      </x:c>
      <x:c r="V140" s="38" t="str">
        <x:v>https://www.youtube.com/results?search_query=LLM+%E4%B8%8B%E4%B8%80%E5%80%8B+Token+%E9%A0%90%E6%B8%AC%E6%A9%9F+machine+learning+responsible+AI+beginner+tutorial+Teachable</x:v>
      </x:c>
      <x:c r="W140" s="38" t="str">
        <x:v>課前暖身</x:v>
      </x:c>
      <x:c r="X140" s="38" t="str">
        <x:v>LLM 下一個 Token 預測機 理解 token、上下文、機率生成與非資料庫式回答 hands on project for kids machine learning responsible</x:v>
      </x:c>
      <x:c r="Y140" s="38" t="str">
        <x:v>https://www.youtube.com/results?search_query=LLM+%E4%B8%8B%E4%B8%80%E5%80%8B+Token+%E9%A0%90%E6%B8%AC%E6%A9%9F+%E7%90%86%E8%A7%A3+token%E3%80%81%E4%B8%8A%E4%B8%8B%E6%96%87%E3%80%81%E6%A9%9F%E7%8E%87%E7%94%9F%E6%88%90%E8%88%87%E9%9D%9E%E8%B3%87%E6%96%99%E5%BA%AB%E5%BC%8F%E5%9B%9E%E7%AD%94+hands+on+project+for+kids+machine+learning+responsible+AI</x:v>
      </x:c>
      <x:c r="Z140" s="38" t="str">
        <x:v>課中實作參考</x:v>
      </x:c>
      <x:c r="AA140" s="38" t="str">
        <x:v>LLM 下一個 Token 預測機 中文 教學 原理 安全 親子 machine learning responsible AI</x:v>
      </x:c>
      <x:c r="AB140" s="38" t="str">
        <x:v>https://www.youtube.com/results?search_query=LLM+%E4%B8%8B%E4%B8%80%E5%80%8B+Token+%E9%A0%90%E6%B8%AC%E6%A9%9F+%E4%B8%AD%E6%96%87+%E6%95%99%E5%AD%B8+%E5%8E%9F%E7%90%86+%E5%AE%89%E5%85%A8+%E8%A6%AA%E5%AD%90+machine+learning+responsible+AI</x:v>
      </x:c>
      <x:c r="AC140" s="38" t="str">
        <x:v>課後延伸／親子討論</x:v>
      </x:c>
    </x:row>
    <x:row r="141" ht="105" customHeight="1">
      <x:c r="A141" s="40" t="n">
        <x:v>140</x:v>
      </x:c>
      <x:c r="B141" s="40" t="str">
        <x:v>第 3 年</x:v>
      </x:c>
      <x:c r="C141" s="40" t="str">
        <x:v>M09 機器學習、生成式 AI 與責任</x:v>
      </x:c>
      <x:c r="D141" s="40" t="n">
        <x:v>12</x:v>
      </x:c>
      <x:c r="E141" s="40" t="str">
        <x:v>RAG：先找資料再回答</x:v>
      </x:c>
      <x:c r="F141" s="40" t="str">
        <x:v>機器學習／神經網路／LLM／偏差／評估</x:v>
      </x:c>
      <x:c r="G141" s="40" t="str">
        <x:v>理解檢索、來源片段、回答與引用的流程</x:v>
      </x:c>
      <x:c r="H141" s="40" t="str">
        <x:v>00–10 任務開場：RAG：先找資料再回答
10–25 概念示範：理解檢索、來源片段、回答與引用的流程
25–65 父子共同實作：用家庭科技手冊做小型人工 RAG 問答
65–75 休息／走動／聊天
75–105 孩子獨立改造：增加一個自選規則或功能
105–115 角色互換：孩子教爸爸操作與原理
115–120 錄音總結、作品命名、版本存檔</x:v>
      </x:c>
      <x:c r="I141" s="40" t="str">
        <x:v>用家庭科技手冊做小型人工 RAG 問答</x:v>
      </x:c>
      <x:c r="J141" s="40" t="str">
        <x:v>Demo Day</x:v>
      </x:c>
      <x:c r="K141" s="40" t="str">
        <x:v>RAG 流程圖</x:v>
      </x:c>
      <x:c r="L141" s="40" t="str">
        <x:v>責任與公平</x:v>
      </x:c>
      <x:c r="M141" s="40" t="str">
        <x:v>確認鏡頭/麥克風與瀏覽器權限；訓練資料不得含未同意的個資。</x:v>
      </x:c>
      <x:c r="N141" s="40" t="str">
        <x:v>15–30 分鐘自由改造；寫三句學習日誌：我做了什麼、哪裡卡住、下次想加什麼。</x:v>
      </x:c>
      <x:c r="O141" s="40" t="str">
        <x:v>完成「RAG 流程圖」；能不用看稿說出核心原理；能指出至少一個錯誤、限制或安全注意事項。</x:v>
      </x:c>
      <x:c r="P141" s="40" t="str">
        <x:v>R20</x:v>
      </x:c>
      <x:c r="Q141" s="40" t="str">
        <x:v>https://academy.openai.com/</x:v>
      </x:c>
      <x:c r="R141" s="40" t="str">
        <x:v>請孩子回答：1. RAG：先找資料再回答在解決什麼？2. 我怎麼做？3. 哪裡容易錯？4. 生活中哪裡會用到？</x:v>
      </x:c>
      <x:c r="S141" s="40" t="str">
        <x:v>父子科技課 #140｜RAG：先找資料再回答</x:v>
      </x:c>
      <x:c r="T141" s="40" t="n">
        <x:v>4</x:v>
      </x:c>
      <x:c r="U141" s="38" t="str">
        <x:v>RAG 先找資料再回答 machine learning responsible AI beginner tutorial Teachable</x:v>
      </x:c>
      <x:c r="V141" s="38" t="str">
        <x:v>https://www.youtube.com/results?search_query=RAG+%E5%85%88%E6%89%BE%E8%B3%87%E6%96%99%E5%86%8D%E5%9B%9E%E7%AD%94+machine+learning+responsible+AI+beginner+tutorial+Teachable</x:v>
      </x:c>
      <x:c r="W141" s="38" t="str">
        <x:v>課前暖身</x:v>
      </x:c>
      <x:c r="X141" s="38" t="str">
        <x:v>RAG 先找資料再回答 理解檢索、來源片段、回答與引用的流程 hands on project for kids machine learning responsible AI</x:v>
      </x:c>
      <x:c r="Y141" s="38" t="str">
        <x:v>https://www.youtube.com/results?search_query=RAG+%E5%85%88%E6%89%BE%E8%B3%87%E6%96%99%E5%86%8D%E5%9B%9E%E7%AD%94+%E7%90%86%E8%A7%A3%E6%AA%A2%E7%B4%A2%E3%80%81%E4%BE%86%E6%BA%90%E7%89%87%E6%AE%B5%E3%80%81%E5%9B%9E%E7%AD%94%E8%88%87%E5%BC%95%E7%94%A8%E7%9A%84%E6%B5%81%E7%A8%8B+hands+on+project+for+kids+machine+learning+responsible+AI</x:v>
      </x:c>
      <x:c r="Z141" s="38" t="str">
        <x:v>課中實作參考</x:v>
      </x:c>
      <x:c r="AA141" s="38" t="str">
        <x:v>RAG 先找資料再回答 中文 教學 原理 安全 親子 machine learning responsible AI</x:v>
      </x:c>
      <x:c r="AB141" s="38" t="str">
        <x:v>https://www.youtube.com/results?search_query=RAG+%E5%85%88%E6%89%BE%E8%B3%87%E6%96%99%E5%86%8D%E5%9B%9E%E7%AD%94+%E4%B8%AD%E6%96%87+%E6%95%99%E5%AD%B8+%E5%8E%9F%E7%90%86+%E5%AE%89%E5%85%A8+%E8%A6%AA%E5%AD%90+machine+learning+responsible+AI</x:v>
      </x:c>
      <x:c r="AC141" s="38" t="str">
        <x:v>課後延伸／親子討論</x:v>
      </x:c>
    </x:row>
    <x:row r="142" ht="105" customHeight="1">
      <x:c r="A142" s="40" t="n">
        <x:v>141</x:v>
      </x:c>
      <x:c r="B142" s="40" t="str">
        <x:v>第 3 年</x:v>
      </x:c>
      <x:c r="C142" s="40" t="str">
        <x:v>M09 機器學習、生成式 AI 與責任</x:v>
      </x:c>
      <x:c r="D142" s="40" t="n">
        <x:v>13</x:v>
      </x:c>
      <x:c r="E142" s="40" t="str">
        <x:v>Prompt 與 Evals：答案好不好要先定義</x:v>
      </x:c>
      <x:c r="F142" s="40" t="str">
        <x:v>機器學習／神經網路／LLM／偏差／評估</x:v>
      </x:c>
      <x:c r="G142" s="40" t="str">
        <x:v>建立輸入範例、評分標準與回歸測試</x:v>
      </x:c>
      <x:c r="H142" s="40" t="str">
        <x:v>00–10 任務開場：Prompt 與 Evals：答案好不好要先定義
10–25 概念示範：建立輸入範例、評分標準與回歸測試
25–65 父子共同實作：為『兒童科普改寫器』設計 10 題測試與評分規則
65–75 休息／走動／聊天
75–105 孩子獨立改造：增加一個自選規則或功能
105–115 角色互換：孩子教爸爸操作與原理
115–120 錄音總結、作品命名、版本存檔</x:v>
      </x:c>
      <x:c r="I142" s="40" t="str">
        <x:v>為『兒童科普改寫器』設計 10 題測試與評分規則</x:v>
      </x:c>
      <x:c r="J142" s="40" t="str">
        <x:v>人肉模型</x:v>
      </x:c>
      <x:c r="K142" s="40" t="str">
        <x:v>Prompt 測試集</x:v>
      </x:c>
      <x:c r="L142" s="40" t="str">
        <x:v>責任與公平</x:v>
      </x:c>
      <x:c r="M142" s="40" t="str">
        <x:v>確認鏡頭/麥克風與瀏覽器權限；訓練資料不得含未同意的個資。</x:v>
      </x:c>
      <x:c r="N142" s="40" t="str">
        <x:v>15–30 分鐘自由改造；寫三句學習日誌：我做了什麼、哪裡卡住、下次想加什麼。</x:v>
      </x:c>
      <x:c r="O142" s="40" t="str">
        <x:v>完成「Prompt 測試集」；能不用看稿說出核心原理；能指出至少一個錯誤、限制或安全注意事項。</x:v>
      </x:c>
      <x:c r="P142" s="40" t="str">
        <x:v>R21</x:v>
      </x:c>
      <x:c r="Q142" s="40" t="str">
        <x:v>https://academy.openai.com/public/clubs/work-users-ynjqu/resources/prompting</x:v>
      </x:c>
      <x:c r="R142" s="40" t="str">
        <x:v>請孩子回答：1. Prompt 與 Evals：答案好不好要先定義在解決什麼？2. 我怎麼做？3. 哪裡容易錯？4. 生活中哪裡會用到？</x:v>
      </x:c>
      <x:c r="S142" s="40" t="str">
        <x:v>父子科技課 #141｜Prompt 與 Evals：答案好不好要先定義</x:v>
      </x:c>
      <x:c r="T142" s="40" t="n">
        <x:v>4</x:v>
      </x:c>
      <x:c r="U142" s="38" t="str">
        <x:v>Prompt 與 Evals 答案好不好要先定義 machine learning responsible AI beginner tutorial Teachable</x:v>
      </x:c>
      <x:c r="V142" s="38" t="str">
        <x:v>https://www.youtube.com/results?search_query=Prompt+%E8%88%87+Evals+%E7%AD%94%E6%A1%88%E5%A5%BD%E4%B8%8D%E5%A5%BD%E8%A6%81%E5%85%88%E5%AE%9A%E7%BE%A9+machine+learning+responsible+AI+beginner+tutorial+Teachable</x:v>
      </x:c>
      <x:c r="W142" s="38" t="str">
        <x:v>課前暖身</x:v>
      </x:c>
      <x:c r="X142" s="38" t="str">
        <x:v>Prompt 與 Evals 答案好不好要先定義 建立輸入範例、評分標準與回歸測試 hands on project for kids machine learning responsible AI</x:v>
      </x:c>
      <x:c r="Y142" s="38" t="str">
        <x:v>https://www.youtube.com/results?search_query=Prompt+%E8%88%87+Evals+%E7%AD%94%E6%A1%88%E5%A5%BD%E4%B8%8D%E5%A5%BD%E8%A6%81%E5%85%88%E5%AE%9A%E7%BE%A9+%E5%BB%BA%E7%AB%8B%E8%BC%B8%E5%85%A5%E7%AF%84%E4%BE%8B%E3%80%81%E8%A9%95%E5%88%86%E6%A8%99%E6%BA%96%E8%88%87%E5%9B%9E%E6%AD%B8%E6%B8%AC%E8%A9%A6+hands+on+project+for+kids+machine+learning+responsible+AI</x:v>
      </x:c>
      <x:c r="Z142" s="38" t="str">
        <x:v>課中實作參考</x:v>
      </x:c>
      <x:c r="AA142" s="38" t="str">
        <x:v>Prompt 與 Evals 答案好不好要先定義 中文 教學 原理 安全 親子 machine learning responsible AI</x:v>
      </x:c>
      <x:c r="AB142" s="38" t="str">
        <x:v>https://www.youtube.com/results?search_query=Prompt+%E8%88%87+Evals+%E7%AD%94%E6%A1%88%E5%A5%BD%E4%B8%8D%E5%A5%BD%E8%A6%81%E5%85%88%E5%AE%9A%E7%BE%A9+%E4%B8%AD%E6%96%87+%E6%95%99%E5%AD%B8+%E5%8E%9F%E7%90%86+%E5%AE%89%E5%85%A8+%E8%A6%AA%E5%AD%90+machine+learning+responsible+AI</x:v>
      </x:c>
      <x:c r="AC142" s="38" t="str">
        <x:v>課後延伸／親子討論</x:v>
      </x:c>
    </x:row>
    <x:row r="143" ht="105" customHeight="1">
      <x:c r="A143" s="40" t="n">
        <x:v>142</x:v>
      </x:c>
      <x:c r="B143" s="40" t="str">
        <x:v>第 3 年</x:v>
      </x:c>
      <x:c r="C143" s="40" t="str">
        <x:v>M09 機器學習、生成式 AI 與責任</x:v>
      </x:c>
      <x:c r="D143" s="40" t="n">
        <x:v>14</x:v>
      </x:c>
      <x:c r="E143" s="40" t="str">
        <x:v>AI 倫理、隱私與責任邊界</x:v>
      </x:c>
      <x:c r="F143" s="40" t="str">
        <x:v>機器學習／神經網路／LLM／偏差／評估</x:v>
      </x:c>
      <x:c r="G143" s="40" t="str">
        <x:v>討論同意、資料最小化、深偽、責任與何時不用 AI</x:v>
      </x:c>
      <x:c r="H143" s="40" t="str">
        <x:v>00–10 任務開場：AI 倫理、隱私與責任邊界
10–25 概念示範：討論同意、資料最小化、深偽、責任與何時不用 AI
25–65 父子共同實作：審查五個 AI 點子，決定可做、需限制或不該做
65–75 休息／走動／聊天
75–105 孩子獨立改造：增加一個自選規則或功能
105–115 角色互換：孩子教爸爸操作與原理
115–120 錄音總結、作品命名、版本存檔</x:v>
      </x:c>
      <x:c r="I143" s="40" t="str">
        <x:v>審查五個 AI 點子，決定可做、需限制或不該做</x:v>
      </x:c>
      <x:c r="J143" s="40" t="str">
        <x:v>偏差挑戰</x:v>
      </x:c>
      <x:c r="K143" s="40" t="str">
        <x:v>AI 風險審查表</x:v>
      </x:c>
      <x:c r="L143" s="40" t="str">
        <x:v>安全</x:v>
      </x:c>
      <x:c r="M143" s="40" t="str">
        <x:v>確認鏡頭/麥克風與瀏覽器權限；訓練資料不得含未同意的個資。</x:v>
      </x:c>
      <x:c r="N143" s="40" t="str">
        <x:v>15–30 分鐘自由改造；寫三句學習日誌：我做了什麼、哪裡卡住、下次想加什麼。</x:v>
      </x:c>
      <x:c r="O143" s="40" t="str">
        <x:v>完成「AI 風險審查表」；能不用看稿說出核心原理；能指出至少一個錯誤、限制或安全注意事項。</x:v>
      </x:c>
      <x:c r="P143" s="40" t="str">
        <x:v>R07</x:v>
      </x:c>
      <x:c r="Q143" s="40" t="str">
        <x:v>https://dayofai.org/</x:v>
      </x:c>
      <x:c r="R143" s="40" t="str">
        <x:v>請孩子回答：1. AI 倫理、隱私與責任邊界在解決什麼？2. 我怎麼做？3. 哪裡容易錯？4. 生活中哪裡會用到？</x:v>
      </x:c>
      <x:c r="S143" s="40" t="str">
        <x:v>父子科技課 #142｜AI 倫理、隱私與責任邊界</x:v>
      </x:c>
      <x:c r="T143" s="40" t="n">
        <x:v>4</x:v>
      </x:c>
      <x:c r="U143" s="38" t="str">
        <x:v>AI 倫理、隱私與責任邊界 machine learning responsible AI beginner tutorial Teachable</x:v>
      </x:c>
      <x:c r="V143" s="38" t="str">
        <x:v>https://www.youtube.com/results?search_query=AI+%E5%80%AB%E7%90%86%E3%80%81%E9%9A%B1%E7%A7%81%E8%88%87%E8%B2%AC%E4%BB%BB%E9%82%8A%E7%95%8C+machine+learning+responsible+AI+beginner+tutorial+Teachable</x:v>
      </x:c>
      <x:c r="W143" s="38" t="str">
        <x:v>課前暖身</x:v>
      </x:c>
      <x:c r="X143" s="38" t="str">
        <x:v>AI 倫理、隱私與責任邊界 討論同意、資料最小化、深偽、責任與何時不用 AI hands on project for kids machine learning responsible AI</x:v>
      </x:c>
      <x:c r="Y143" s="38" t="str">
        <x:v>https://www.youtube.com/results?search_query=AI+%E5%80%AB%E7%90%86%E3%80%81%E9%9A%B1%E7%A7%81%E8%88%87%E8%B2%AC%E4%BB%BB%E9%82%8A%E7%95%8C+%E8%A8%8E%E8%AB%96%E5%90%8C%E6%84%8F%E3%80%81%E8%B3%87%E6%96%99%E6%9C%80%E5%B0%8F%E5%8C%96%E3%80%81%E6%B7%B1%E5%81%BD%E3%80%81%E8%B2%AC%E4%BB%BB%E8%88%87%E4%BD%95%E6%99%82%E4%B8%8D%E7%94%A8+AI+hands+on+project+for+kids+machine+learning+responsible+AI</x:v>
      </x:c>
      <x:c r="Z143" s="38" t="str">
        <x:v>課中實作參考</x:v>
      </x:c>
      <x:c r="AA143" s="38" t="str">
        <x:v>AI 倫理、隱私與責任邊界 中文 教學 原理 安全 親子 machine learning responsible AI</x:v>
      </x:c>
      <x:c r="AB143" s="38" t="str">
        <x:v>https://www.youtube.com/results?search_query=AI+%E5%80%AB%E7%90%86%E3%80%81%E9%9A%B1%E7%A7%81%E8%88%87%E8%B2%AC%E4%BB%BB%E9%82%8A%E7%95%8C+%E4%B8%AD%E6%96%87+%E6%95%99%E5%AD%B8+%E5%8E%9F%E7%90%86+%E5%AE%89%E5%85%A8+%E8%A6%AA%E5%AD%90+machine+learning+responsible+AI</x:v>
      </x:c>
      <x:c r="AC143" s="38" t="str">
        <x:v>課後延伸／親子討論</x:v>
      </x:c>
    </x:row>
    <x:row r="144" ht="105" customHeight="1">
      <x:c r="A144" s="40" t="n">
        <x:v>143</x:v>
      </x:c>
      <x:c r="B144" s="40" t="str">
        <x:v>第 3 年</x:v>
      </x:c>
      <x:c r="C144" s="40" t="str">
        <x:v>M09 機器學習、生成式 AI 與責任</x:v>
      </x:c>
      <x:c r="D144" s="40" t="n">
        <x:v>15</x:v>
      </x:c>
      <x:c r="E144" s="40" t="str">
        <x:v>AI 小幫手 Alpha</x:v>
      </x:c>
      <x:c r="F144" s="40" t="str">
        <x:v>機器學習／神經網路／LLM／偏差／評估</x:v>
      </x:c>
      <x:c r="G144" s="40" t="str">
        <x:v>整合資料、Prompt/RAG、介面與安全限制</x:v>
      </x:c>
      <x:c r="H144" s="40" t="str">
        <x:v>00–10 任務開場：AI 小幫手 Alpha
10–25 概念示範：整合資料、Prompt/RAG、介面與安全限制
25–65 父子共同實作：選擇讀書問答、科技名詞或家庭設備助手
65–75 休息／走動／聊天
75–105 孩子獨立改造：增加一個自選規則或功能
105–115 角色互換：孩子教爸爸操作與原理
115–120 錄音總結、作品命名、版本存檔</x:v>
      </x:c>
      <x:c r="I144" s="40" t="str">
        <x:v>選擇讀書問答、科技名詞或家庭設備助手</x:v>
      </x:c>
      <x:c r="J144" s="40" t="str">
        <x:v>模型攻防</x:v>
      </x:c>
      <x:c r="K144" s="40" t="str">
        <x:v>AI 助手 Alpha</x:v>
      </x:c>
      <x:c r="L144" s="40" t="str">
        <x:v>責任與公平</x:v>
      </x:c>
      <x:c r="M144" s="40" t="str">
        <x:v>確認鏡頭/麥克風與瀏覽器權限；訓練資料不得含未同意的個資。</x:v>
      </x:c>
      <x:c r="N144" s="40" t="str">
        <x:v>15–30 分鐘自由改造；寫三句學習日誌：我做了什麼、哪裡卡住、下次想加什麼。</x:v>
      </x:c>
      <x:c r="O144" s="40" t="str">
        <x:v>完成「AI 助手 Alpha」；能不用看稿說出核心原理；能指出至少一個錯誤、限制或安全注意事項。</x:v>
      </x:c>
      <x:c r="P144" s="40" t="str">
        <x:v>R20</x:v>
      </x:c>
      <x:c r="Q144" s="40" t="str">
        <x:v>https://academy.openai.com/</x:v>
      </x:c>
      <x:c r="R144" s="40" t="str">
        <x:v>請孩子回答：1. AI 小幫手 Alpha在解決什麼？2. 我怎麼做？3. 哪裡容易錯？4. 生活中哪裡會用到？</x:v>
      </x:c>
      <x:c r="S144" s="40" t="str">
        <x:v>父子科技課 #143｜AI 小幫手 Alpha</x:v>
      </x:c>
      <x:c r="T144" s="40" t="n">
        <x:v>4</x:v>
      </x:c>
      <x:c r="U144" s="38" t="str">
        <x:v>AI 小幫手 Alpha machine learning responsible AI beginner tutorial Teachable</x:v>
      </x:c>
      <x:c r="V144" s="38" t="str">
        <x:v>https://www.youtube.com/results?search_query=AI+%E5%B0%8F%E5%B9%AB%E6%89%8B+Alpha+machine+learning+responsible+AI+beginner+tutorial+Teachable</x:v>
      </x:c>
      <x:c r="W144" s="38" t="str">
        <x:v>課前暖身</x:v>
      </x:c>
      <x:c r="X144" s="38" t="str">
        <x:v>AI 小幫手 Alpha 整合資料、Prompt/RAG、介面與安全限制 hands on project for kids machine learning responsible AI</x:v>
      </x:c>
      <x:c r="Y144" s="38" t="str">
        <x:v>https://www.youtube.com/results?search_query=AI+%E5%B0%8F%E5%B9%AB%E6%89%8B+Alpha+%E6%95%B4%E5%90%88%E8%B3%87%E6%96%99%E3%80%81Prompt%2FRAG%E3%80%81%E4%BB%8B%E9%9D%A2%E8%88%87%E5%AE%89%E5%85%A8%E9%99%90%E5%88%B6+hands+on+project+for+kids+machine+learning+responsible+AI</x:v>
      </x:c>
      <x:c r="Z144" s="38" t="str">
        <x:v>課中實作參考</x:v>
      </x:c>
      <x:c r="AA144" s="38" t="str">
        <x:v>AI 小幫手 Alpha 中文 教學 原理 安全 親子 machine learning responsible AI</x:v>
      </x:c>
      <x:c r="AB144" s="38" t="str">
        <x:v>https://www.youtube.com/results?search_query=AI+%E5%B0%8F%E5%B9%AB%E6%89%8B+Alpha+%E4%B8%AD%E6%96%87+%E6%95%99%E5%AD%B8+%E5%8E%9F%E7%90%86+%E5%AE%89%E5%85%A8+%E8%A6%AA%E5%AD%90+machine+learning+responsible+AI</x:v>
      </x:c>
      <x:c r="AC144" s="38" t="str">
        <x:v>課後延伸／親子討論</x:v>
      </x:c>
    </x:row>
    <x:row r="145" ht="105" customHeight="1">
      <x:c r="A145" s="40" t="n">
        <x:v>144</x:v>
      </x:c>
      <x:c r="B145" s="40" t="str">
        <x:v>第 3 年</x:v>
      </x:c>
      <x:c r="C145" s="40" t="str">
        <x:v>M09 機器學習、生成式 AI 與責任</x:v>
      </x:c>
      <x:c r="D145" s="40" t="n">
        <x:v>16</x:v>
      </x:c>
      <x:c r="E145" s="40" t="str">
        <x:v>Model Card 與 Demo Day</x:v>
      </x:c>
      <x:c r="F145" s="40" t="str">
        <x:v>機器學習／神經網路／LLM／偏差／評估</x:v>
      </x:c>
      <x:c r="G145" s="40" t="str">
        <x:v>清楚說明用途、資料、限制、測試、風險與改進</x:v>
      </x:c>
      <x:c r="H145" s="40" t="str">
        <x:v>00–10 任務開場：Model Card 與 Demo Day
10–25 概念示範：清楚說明用途、資料、限制、測試、風險與改進
25–65 父子共同實作：由觀眾故意挑戰模型，孩子展示失敗案例與防護
65–75 休息／走動／聊天
75–105 孩子獨立改造：增加一個自選規則或功能
105–115 角色互換：孩子教爸爸操作與原理
115–120 錄音總結、作品命名、版本存檔</x:v>
      </x:c>
      <x:c r="I145" s="40" t="str">
        <x:v>由觀眾故意挑戰模型，孩子展示失敗案例與防護</x:v>
      </x:c>
      <x:c r="J145" s="40" t="str">
        <x:v>Demo Day</x:v>
      </x:c>
      <x:c r="K145" s="40" t="str">
        <x:v>模型卡＋測試報告＋Demo</x:v>
      </x:c>
      <x:c r="L145" s="40" t="str">
        <x:v>合作與回饋</x:v>
      </x:c>
      <x:c r="M145" s="40" t="str">
        <x:v>確認鏡頭/麥克風與瀏覽器權限；訓練資料不得含未同意的個資。</x:v>
      </x:c>
      <x:c r="N145" s="40" t="str">
        <x:v>15–30 分鐘自由改造；寫三句學習日誌：我做了什麼、哪裡卡住、下次想加什麼。</x:v>
      </x:c>
      <x:c r="O145" s="40" t="str">
        <x:v>完成「模型卡＋測試報告＋Demo」；能不用看稿說出核心原理；能指出至少一個錯誤、限制或安全注意事項。</x:v>
      </x:c>
      <x:c r="P145" s="40" t="str">
        <x:v>R08</x:v>
      </x:c>
      <x:c r="Q145" s="40" t="str">
        <x:v>https://raise.mit.edu/resources/</x:v>
      </x:c>
      <x:c r="R145" s="40" t="str">
        <x:v>請孩子回答：1. Model Card 與 Demo Day在解決什麼？2. 我怎麼做？3. 哪裡容易錯？4. 生活中哪裡會用到？</x:v>
      </x:c>
      <x:c r="S145" s="40" t="str">
        <x:v>父子科技課 #144｜Model Card 與 Demo Day</x:v>
      </x:c>
      <x:c r="T145" s="40" t="n">
        <x:v>4</x:v>
      </x:c>
      <x:c r="U145" s="38" t="str">
        <x:v>Model Card 與 Demo Day machine learning responsible AI beginner tutorial Teachable</x:v>
      </x:c>
      <x:c r="V145" s="38" t="str">
        <x:v>https://www.youtube.com/results?search_query=Model+Card+%E8%88%87+Demo+Day+machine+learning+responsible+AI+beginner+tutorial+Teachable</x:v>
      </x:c>
      <x:c r="W145" s="38" t="str">
        <x:v>課前暖身</x:v>
      </x:c>
      <x:c r="X145" s="38" t="str">
        <x:v>Model Card 與 Demo Day 清楚說明用途、資料、限制、測試、風險與改進 hands on project for kids machine learning responsible</x:v>
      </x:c>
      <x:c r="Y145" s="38" t="str">
        <x:v>https://www.youtube.com/results?search_query=Model+Card+%E8%88%87+Demo+Day+%E6%B8%85%E6%A5%9A%E8%AA%AA%E6%98%8E%E7%94%A8%E9%80%94%E3%80%81%E8%B3%87%E6%96%99%E3%80%81%E9%99%90%E5%88%B6%E3%80%81%E6%B8%AC%E8%A9%A6%E3%80%81%E9%A2%A8%E9%9A%AA%E8%88%87%E6%94%B9%E9%80%B2+hands+on+project+for+kids+machine+learning+responsible+AI</x:v>
      </x:c>
      <x:c r="Z145" s="38" t="str">
        <x:v>課中實作參考</x:v>
      </x:c>
      <x:c r="AA145" s="38" t="str">
        <x:v>Model Card 與 Demo Day 中文 教學 原理 安全 親子 machine learning responsible AI</x:v>
      </x:c>
      <x:c r="AB145" s="38" t="str">
        <x:v>https://www.youtube.com/results?search_query=Model+Card+%E8%88%87+Demo+Day+%E4%B8%AD%E6%96%87+%E6%95%99%E5%AD%B8+%E5%8E%9F%E7%90%86+%E5%AE%89%E5%85%A8+%E8%A6%AA%E5%AD%90+machine+learning+responsible+AI</x:v>
      </x:c>
      <x:c r="AC145" s="38" t="str">
        <x:v>課後延伸／親子討論</x:v>
      </x:c>
    </x:row>
    <x:row r="146" ht="105" customHeight="1">
      <x:c r="A146" s="40" t="n">
        <x:v>145</x:v>
      </x:c>
      <x:c r="B146" s="40" t="str">
        <x:v>第 4 年</x:v>
      </x:c>
      <x:c r="C146" s="40" t="str">
        <x:v>M10 Robot 與 IoT：感知、決策、行動</x:v>
      </x:c>
      <x:c r="D146" s="40" t="n">
        <x:v>1</x:v>
      </x:c>
      <x:c r="E146" s="40" t="str">
        <x:v>機器人的三段式：感知—思考—行動</x:v>
      </x:c>
      <x:c r="F146" s="40" t="str">
        <x:v>機器人／控制／IoT／通訊／安全</x:v>
      </x:c>
      <x:c r="G146" s="40" t="str">
        <x:v>建立機器人系統框圖與訊號流</x:v>
      </x:c>
      <x:c r="H146" s="40" t="str">
        <x:v>00–10 任務開場：機器人的三段式：感知—思考—行動
10–25 概念示範：建立機器人系統框圖與訊號流
25–65 父子共同實作：拆解掃地機器人、門禁與 InMoov 手臂的功能方塊
65–75 休息／走動／聊天
75–105 孩子獨立改造：增加一個自選規則或功能
105–115 角色互換：孩子教爸爸操作與原理
115–120 錄音總結、作品命名、版本存檔</x:v>
      </x:c>
      <x:c r="I146" s="40" t="str">
        <x:v>拆解掃地機器人、門禁與 InMoov 手臂的功能方塊</x:v>
      </x:c>
      <x:c r="J146" s="40" t="str">
        <x:v>機器人任務</x:v>
      </x:c>
      <x:c r="K146" s="40" t="str">
        <x:v>Robot 系統方塊圖</x:v>
      </x:c>
      <x:c r="L146" s="40" t="str">
        <x:v>系統安全</x:v>
      </x:c>
      <x:c r="M146" s="40" t="str">
        <x:v>檢查電源、機構、急停與活動空間；先做風險評估。</x:v>
      </x:c>
      <x:c r="N146" s="40" t="str">
        <x:v>15–30 分鐘自由改造；寫三句學習日誌：我做了什麼、哪裡卡住、下次想加什麼。</x:v>
      </x:c>
      <x:c r="O146" s="40" t="str">
        <x:v>完成「Robot 系統方塊圖」；能不用看稿說出核心原理；能指出至少一個錯誤、限制或安全注意事項。</x:v>
      </x:c>
      <x:c r="P146" s="40" t="str">
        <x:v>R18</x:v>
      </x:c>
      <x:c r="Q146" s="40" t="str">
        <x:v>https://docs.arduino.cc/</x:v>
      </x:c>
      <x:c r="R146" s="40" t="str">
        <x:v>請孩子回答：1. 機器人的三段式：感知—思考—行動在解決什麼？2. 我怎麼做？3. 哪裡容易錯？4. 生活中哪裡會用到？</x:v>
      </x:c>
      <x:c r="S146" s="40" t="str">
        <x:v>父子科技課 #145｜機器人的三段式：感知—思考—行動</x:v>
      </x:c>
      <x:c r="T146" s="40" t="n">
        <x:v>4</x:v>
      </x:c>
      <x:c r="U146" s="38" t="str">
        <x:v>機器人的三段式 感知 思考 行動 Arduino robot IoT sensors beginner tutorial Arduino</x:v>
      </x:c>
      <x:c r="V146" s="38" t="str">
        <x:v>https://www.youtube.com/results?search_query=%E6%A9%9F%E5%99%A8%E4%BA%BA%E7%9A%84%E4%B8%89%E6%AE%B5%E5%BC%8F+%E6%84%9F%E7%9F%A5+%E6%80%9D%E8%80%83+%E8%A1%8C%E5%8B%95+Arduino+robot+IoT+sensors+beginner+tutorial+Arduino</x:v>
      </x:c>
      <x:c r="W146" s="38" t="str">
        <x:v>課前暖身</x:v>
      </x:c>
      <x:c r="X146" s="38" t="str">
        <x:v>機器人的三段式 感知 思考 行動 建立機器人系統框圖與訊號流 hands on project for kids Arduino robot IoT sensors</x:v>
      </x:c>
      <x:c r="Y146" s="38" t="str">
        <x:v>https://www.youtube.com/results?search_query=%E6%A9%9F%E5%99%A8%E4%BA%BA%E7%9A%84%E4%B8%89%E6%AE%B5%E5%BC%8F+%E6%84%9F%E7%9F%A5+%E6%80%9D%E8%80%83+%E8%A1%8C%E5%8B%95+%E5%BB%BA%E7%AB%8B%E6%A9%9F%E5%99%A8%E4%BA%BA%E7%B3%BB%E7%B5%B1%E6%A1%86%E5%9C%96%E8%88%87%E8%A8%8A%E8%99%9F%E6%B5%81+hands+on+project+for+kids+Arduino+robot+IoT+sensors</x:v>
      </x:c>
      <x:c r="Z146" s="38" t="str">
        <x:v>課中實作參考</x:v>
      </x:c>
      <x:c r="AA146" s="38" t="str">
        <x:v>機器人的三段式 感知 思考 行動 中文 教學 原理 安全 親子 Arduino robot IoT sensors</x:v>
      </x:c>
      <x:c r="AB146" s="38" t="str">
        <x:v>https://www.youtube.com/results?search_query=%E6%A9%9F%E5%99%A8%E4%BA%BA%E7%9A%84%E4%B8%89%E6%AE%B5%E5%BC%8F+%E6%84%9F%E7%9F%A5+%E6%80%9D%E8%80%83+%E8%A1%8C%E5%8B%95+%E4%B8%AD%E6%96%87+%E6%95%99%E5%AD%B8+%E5%8E%9F%E7%90%86+%E5%AE%89%E5%85%A8+%E8%A6%AA%E5%AD%90+Arduino+robot+IoT+sensors</x:v>
      </x:c>
      <x:c r="AC146" s="38" t="str">
        <x:v>課後延伸／親子討論</x:v>
      </x:c>
    </x:row>
    <x:row r="147" ht="105" customHeight="1">
      <x:c r="A147" s="40" t="n">
        <x:v>146</x:v>
      </x:c>
      <x:c r="B147" s="40" t="str">
        <x:v>第 4 年</x:v>
      </x:c>
      <x:c r="C147" s="40" t="str">
        <x:v>M10 Robot 與 IoT：感知、決策、行動</x:v>
      </x:c>
      <x:c r="D147" s="40" t="n">
        <x:v>2</x:v>
      </x:c>
      <x:c r="E147" s="40" t="str">
        <x:v>馬達與機構：轉動如何變成動作</x:v>
      </x:c>
      <x:c r="F147" s="40" t="str">
        <x:v>機器人／控制／IoT／通訊／安全</x:v>
      </x:c>
      <x:c r="G147" s="40" t="str">
        <x:v>理解 DC/servo/stepper、扭力、速度與機構限制</x:v>
      </x:c>
      <x:c r="H147" s="40" t="str">
        <x:v>00–10 任務開場：馬達與機構：轉動如何變成動作
10–25 概念示範：理解 DC/servo/stepper、扭力、速度與機構限制
25–65 父子共同實作：紙板連桿＋伺服做夾爪或揮手裝置
65–75 休息／走動／聊天
75–105 孩子獨立改造：增加一個自選規則或功能
105–115 角色互換：孩子教爸爸操作與原理
115–120 錄音總結、作品命名、版本存檔</x:v>
      </x:c>
      <x:c r="I147" s="40" t="str">
        <x:v>紙板連桿＋伺服做夾爪或揮手裝置</x:v>
      </x:c>
      <x:c r="J147" s="40" t="str">
        <x:v>故障注入</x:v>
      </x:c>
      <x:c r="K147" s="40" t="str">
        <x:v>單軸機構</x:v>
      </x:c>
      <x:c r="L147" s="40" t="str">
        <x:v>系統安全</x:v>
      </x:c>
      <x:c r="M147" s="40" t="str">
        <x:v>檢查電源、機構、急停與活動空間；先做風險評估。</x:v>
      </x:c>
      <x:c r="N147" s="40" t="str">
        <x:v>15–30 分鐘自由改造；寫三句學習日誌：我做了什麼、哪裡卡住、下次想加什麼。</x:v>
      </x:c>
      <x:c r="O147" s="40" t="str">
        <x:v>完成「單軸機構」；能不用看稿說出核心原理；能指出至少一個錯誤、限制或安全注意事項。</x:v>
      </x:c>
      <x:c r="P147" s="40" t="str">
        <x:v>R18</x:v>
      </x:c>
      <x:c r="Q147" s="40" t="str">
        <x:v>https://docs.arduino.cc/</x:v>
      </x:c>
      <x:c r="R147" s="40" t="str">
        <x:v>請孩子回答：1. 馬達與機構：轉動如何變成動作在解決什麼？2. 我怎麼做？3. 哪裡容易錯？4. 生活中哪裡會用到？</x:v>
      </x:c>
      <x:c r="S147" s="40" t="str">
        <x:v>父子科技課 #146｜馬達與機構：轉動如何變成動作</x:v>
      </x:c>
      <x:c r="T147" s="40" t="n">
        <x:v>4</x:v>
      </x:c>
      <x:c r="U147" s="38" t="str">
        <x:v>馬達與機構 轉動如何變成動作 Arduino robot IoT sensors beginner tutorial Arduino</x:v>
      </x:c>
      <x:c r="V147" s="38" t="str">
        <x:v>https://www.youtube.com/results?search_query=%E9%A6%AC%E9%81%94%E8%88%87%E6%A9%9F%E6%A7%8B+%E8%BD%89%E5%8B%95%E5%A6%82%E4%BD%95%E8%AE%8A%E6%88%90%E5%8B%95%E4%BD%9C+Arduino+robot+IoT+sensors+beginner+tutorial+Arduino</x:v>
      </x:c>
      <x:c r="W147" s="38" t="str">
        <x:v>課前暖身</x:v>
      </x:c>
      <x:c r="X147" s="38" t="str">
        <x:v>馬達與機構 轉動如何變成動作 理解 DC/servo/stepper、扭力、速度與機構限制 hands on project for kids Arduino robot IoT sensors</x:v>
      </x:c>
      <x:c r="Y147" s="38" t="str">
        <x:v>https://www.youtube.com/results?search_query=%E9%A6%AC%E9%81%94%E8%88%87%E6%A9%9F%E6%A7%8B+%E8%BD%89%E5%8B%95%E5%A6%82%E4%BD%95%E8%AE%8A%E6%88%90%E5%8B%95%E4%BD%9C+%E7%90%86%E8%A7%A3+DC%2Fservo%2Fstepper%E3%80%81%E6%89%AD%E5%8A%9B%E3%80%81%E9%80%9F%E5%BA%A6%E8%88%87%E6%A9%9F%E6%A7%8B%E9%99%90%E5%88%B6+hands+on+project+for+kids+Arduino+robot+IoT+sensors</x:v>
      </x:c>
      <x:c r="Z147" s="38" t="str">
        <x:v>課中實作參考</x:v>
      </x:c>
      <x:c r="AA147" s="38" t="str">
        <x:v>馬達與機構 轉動如何變成動作 中文 教學 原理 安全 親子 Arduino robot IoT sensors</x:v>
      </x:c>
      <x:c r="AB147" s="38" t="str">
        <x:v>https://www.youtube.com/results?search_query=%E9%A6%AC%E9%81%94%E8%88%87%E6%A9%9F%E6%A7%8B+%E8%BD%89%E5%8B%95%E5%A6%82%E4%BD%95%E8%AE%8A%E6%88%90%E5%8B%95%E4%BD%9C+%E4%B8%AD%E6%96%87+%E6%95%99%E5%AD%B8+%E5%8E%9F%E7%90%86+%E5%AE%89%E5%85%A8+%E8%A6%AA%E5%AD%90+Arduino+robot+IoT+sensors</x:v>
      </x:c>
      <x:c r="AC147" s="38" t="str">
        <x:v>課後延伸／親子討論</x:v>
      </x:c>
    </x:row>
    <x:row r="148" ht="105" customHeight="1">
      <x:c r="A148" s="40" t="n">
        <x:v>147</x:v>
      </x:c>
      <x:c r="B148" s="40" t="str">
        <x:v>第 4 年</x:v>
      </x:c>
      <x:c r="C148" s="40" t="str">
        <x:v>M10 Robot 與 IoT：感知、決策、行動</x:v>
      </x:c>
      <x:c r="D148" s="40" t="n">
        <x:v>3</x:v>
      </x:c>
      <x:c r="E148" s="40" t="str">
        <x:v>距離、光線、碰撞：機器人的感官</x:v>
      </x:c>
      <x:c r="F148" s="40" t="str">
        <x:v>機器人／控制／IoT／通訊／安全</x:v>
      </x:c>
      <x:c r="G148" s="40" t="str">
        <x:v>比較不同感測器的範圍、誤差與失效情境</x:v>
      </x:c>
      <x:c r="H148" s="40" t="str">
        <x:v>00–10 任務開場：距離、光線、碰撞：機器人的感官
10–25 概念示範：比較不同感測器的範圍、誤差與失效情境
25–65 父子共同實作：建立障礙物測距表並找出盲區
65–75 休息／走動／聊天
75–105 孩子獨立改造：增加一個自選規則或功能
105–115 角色互換：孩子教爸爸操作與原理
115–120 錄音總結、作品命名、版本存檔</x:v>
      </x:c>
      <x:c r="I148" s="40" t="str">
        <x:v>建立障礙物測距表並找出盲區</x:v>
      </x:c>
      <x:c r="J148" s="40" t="str">
        <x:v>連續五戰</x:v>
      </x:c>
      <x:c r="K148" s="40" t="str">
        <x:v>感測器規格卡</x:v>
      </x:c>
      <x:c r="L148" s="40" t="str">
        <x:v>系統安全</x:v>
      </x:c>
      <x:c r="M148" s="40" t="str">
        <x:v>檢查電源、機構、急停與活動空間；先做風險評估。</x:v>
      </x:c>
      <x:c r="N148" s="40" t="str">
        <x:v>15–30 分鐘自由改造；寫三句學習日誌：我做了什麼、哪裡卡住、下次想加什麼。</x:v>
      </x:c>
      <x:c r="O148" s="40" t="str">
        <x:v>完成「感測器規格卡」；能不用看稿說出核心原理；能指出至少一個錯誤、限制或安全注意事項。</x:v>
      </x:c>
      <x:c r="P148" s="40" t="str">
        <x:v>R18</x:v>
      </x:c>
      <x:c r="Q148" s="40" t="str">
        <x:v>https://docs.arduino.cc/</x:v>
      </x:c>
      <x:c r="R148" s="40" t="str">
        <x:v>請孩子回答：1. 距離、光線、碰撞：機器人的感官在解決什麼？2. 我怎麼做？3. 哪裡容易錯？4. 生活中哪裡會用到？</x:v>
      </x:c>
      <x:c r="S148" s="40" t="str">
        <x:v>父子科技課 #147｜距離、光線、碰撞：機器人的感官</x:v>
      </x:c>
      <x:c r="T148" s="40" t="n">
        <x:v>4</x:v>
      </x:c>
      <x:c r="U148" s="38" t="str">
        <x:v>距離、光線、碰撞 機器人的感官 Arduino robot IoT sensors beginner tutorial Arduino</x:v>
      </x:c>
      <x:c r="V148" s="38" t="str">
        <x:v>https://www.youtube.com/results?search_query=%E8%B7%9D%E9%9B%A2%E3%80%81%E5%85%89%E7%B7%9A%E3%80%81%E7%A2%B0%E6%92%9E+%E6%A9%9F%E5%99%A8%E4%BA%BA%E7%9A%84%E6%84%9F%E5%AE%98+Arduino+robot+IoT+sensors+beginner+tutorial+Arduino</x:v>
      </x:c>
      <x:c r="W148" s="38" t="str">
        <x:v>課前暖身</x:v>
      </x:c>
      <x:c r="X148" s="38" t="str">
        <x:v>距離、光線、碰撞 機器人的感官 比較不同感測器的範圍、誤差與失效情境 hands on project for kids Arduino robot IoT sensors</x:v>
      </x:c>
      <x:c r="Y148" s="38" t="str">
        <x:v>https://www.youtube.com/results?search_query=%E8%B7%9D%E9%9B%A2%E3%80%81%E5%85%89%E7%B7%9A%E3%80%81%E7%A2%B0%E6%92%9E+%E6%A9%9F%E5%99%A8%E4%BA%BA%E7%9A%84%E6%84%9F%E5%AE%98+%E6%AF%94%E8%BC%83%E4%B8%8D%E5%90%8C%E6%84%9F%E6%B8%AC%E5%99%A8%E7%9A%84%E7%AF%84%E5%9C%8D%E3%80%81%E8%AA%A4%E5%B7%AE%E8%88%87%E5%A4%B1%E6%95%88%E6%83%85%E5%A2%83+hands+on+project+for+kids+Arduino+robot+IoT+sensors</x:v>
      </x:c>
      <x:c r="Z148" s="38" t="str">
        <x:v>課中實作參考</x:v>
      </x:c>
      <x:c r="AA148" s="38" t="str">
        <x:v>距離、光線、碰撞 機器人的感官 中文 教學 原理 安全 親子 Arduino robot IoT sensors</x:v>
      </x:c>
      <x:c r="AB148" s="38" t="str">
        <x:v>https://www.youtube.com/results?search_query=%E8%B7%9D%E9%9B%A2%E3%80%81%E5%85%89%E7%B7%9A%E3%80%81%E7%A2%B0%E6%92%9E+%E6%A9%9F%E5%99%A8%E4%BA%BA%E7%9A%84%E6%84%9F%E5%AE%98+%E4%B8%AD%E6%96%87+%E6%95%99%E5%AD%B8+%E5%8E%9F%E7%90%86+%E5%AE%89%E5%85%A8+%E8%A6%AA%E5%AD%90+Arduino+robot+IoT+sensors</x:v>
      </x:c>
      <x:c r="AC148" s="38" t="str">
        <x:v>課後延伸／親子討論</x:v>
      </x:c>
    </x:row>
    <x:row r="149" ht="105" customHeight="1">
      <x:c r="A149" s="40" t="n">
        <x:v>148</x:v>
      </x:c>
      <x:c r="B149" s="40" t="str">
        <x:v>第 4 年</x:v>
      </x:c>
      <x:c r="C149" s="40" t="str">
        <x:v>M10 Robot 與 IoT：感知、決策、行動</x:v>
      </x:c>
      <x:c r="D149" s="40" t="n">
        <x:v>4</x:v>
      </x:c>
      <x:c r="E149" s="40" t="str">
        <x:v>控制迴路：不是開了就不管</x:v>
      </x:c>
      <x:c r="F149" s="40" t="str">
        <x:v>機器人／控制／IoT／通訊／安全</x:v>
      </x:c>
      <x:c r="G149" s="40" t="str">
        <x:v>理解目標值、量測、誤差、修正與震盪</x:v>
      </x:c>
      <x:c r="H149" s="40" t="str">
        <x:v>00–10 任務開場：控制迴路：不是開了就不管
10–25 概念示範：理解目標值、量測、誤差、修正與震盪
25–65 父子共同實作：父子閉眼走直線遊戲，體驗回饋頻率差異
65–75 休息／走動／聊天
75–105 孩子獨立改造：增加一個自選規則或功能
105–115 角色互換：孩子教爸爸操作與原理
115–120 錄音總結、作品命名、版本存檔</x:v>
      </x:c>
      <x:c r="I149" s="40" t="str">
        <x:v>父子閉眼走直線遊戲，體驗回饋頻率差異</x:v>
      </x:c>
      <x:c r="J149" s="40" t="str">
        <x:v>安全審查</x:v>
      </x:c>
      <x:c r="K149" s="40" t="str">
        <x:v>Feedback Loop 圖</x:v>
      </x:c>
      <x:c r="L149" s="40" t="str">
        <x:v>系統安全</x:v>
      </x:c>
      <x:c r="M149" s="40" t="str">
        <x:v>檢查電源、機構、急停與活動空間；先做風險評估。</x:v>
      </x:c>
      <x:c r="N149" s="40" t="str">
        <x:v>15–30 分鐘自由改造；寫三句學習日誌：我做了什麼、哪裡卡住、下次想加什麼。</x:v>
      </x:c>
      <x:c r="O149" s="40" t="str">
        <x:v>完成「Feedback Loop 圖」；能不用看稿說出核心原理；能指出至少一個錯誤、限制或安全注意事項。</x:v>
      </x:c>
      <x:c r="P149" s="40" t="str">
        <x:v>R18</x:v>
      </x:c>
      <x:c r="Q149" s="40" t="str">
        <x:v>https://docs.arduino.cc/</x:v>
      </x:c>
      <x:c r="R149" s="40" t="str">
        <x:v>請孩子回答：1. 控制迴路：不是開了就不管在解決什麼？2. 我怎麼做？3. 哪裡容易錯？4. 生活中哪裡會用到？</x:v>
      </x:c>
      <x:c r="S149" s="40" t="str">
        <x:v>父子科技課 #148｜控制迴路：不是開了就不管</x:v>
      </x:c>
      <x:c r="T149" s="40" t="n">
        <x:v>4</x:v>
      </x:c>
      <x:c r="U149" s="38" t="str">
        <x:v>控制迴路 不是開了就不管 Arduino robot IoT sensors beginner tutorial Arduino</x:v>
      </x:c>
      <x:c r="V149" s="38" t="str">
        <x:v>https://www.youtube.com/results?search_query=%E6%8E%A7%E5%88%B6%E8%BF%B4%E8%B7%AF+%E4%B8%8D%E6%98%AF%E9%96%8B%E4%BA%86%E5%B0%B1%E4%B8%8D%E7%AE%A1+Arduino+robot+IoT+sensors+beginner+tutorial+Arduino</x:v>
      </x:c>
      <x:c r="W149" s="38" t="str">
        <x:v>課前暖身</x:v>
      </x:c>
      <x:c r="X149" s="38" t="str">
        <x:v>控制迴路 不是開了就不管 理解目標值、量測、誤差、修正與震盪 hands on project for kids Arduino robot IoT sensors</x:v>
      </x:c>
      <x:c r="Y149" s="38" t="str">
        <x:v>https://www.youtube.com/results?search_query=%E6%8E%A7%E5%88%B6%E8%BF%B4%E8%B7%AF+%E4%B8%8D%E6%98%AF%E9%96%8B%E4%BA%86%E5%B0%B1%E4%B8%8D%E7%AE%A1+%E7%90%86%E8%A7%A3%E7%9B%AE%E6%A8%99%E5%80%BC%E3%80%81%E9%87%8F%E6%B8%AC%E3%80%81%E8%AA%A4%E5%B7%AE%E3%80%81%E4%BF%AE%E6%AD%A3%E8%88%87%E9%9C%87%E7%9B%AA+hands+on+project+for+kids+Arduino+robot+IoT+sensors</x:v>
      </x:c>
      <x:c r="Z149" s="38" t="str">
        <x:v>課中實作參考</x:v>
      </x:c>
      <x:c r="AA149" s="38" t="str">
        <x:v>控制迴路 不是開了就不管 中文 教學 原理 安全 親子 Arduino robot IoT sensors</x:v>
      </x:c>
      <x:c r="AB149" s="38" t="str">
        <x:v>https://www.youtube.com/results?search_query=%E6%8E%A7%E5%88%B6%E8%BF%B4%E8%B7%AF+%E4%B8%8D%E6%98%AF%E9%96%8B%E4%BA%86%E5%B0%B1%E4%B8%8D%E7%AE%A1+%E4%B8%AD%E6%96%87+%E6%95%99%E5%AD%B8+%E5%8E%9F%E7%90%86+%E5%AE%89%E5%85%A8+%E8%A6%AA%E5%AD%90+Arduino+robot+IoT+sensors</x:v>
      </x:c>
      <x:c r="AC149" s="38" t="str">
        <x:v>課後延伸／親子討論</x:v>
      </x:c>
    </x:row>
    <x:row r="150" ht="105" customHeight="1">
      <x:c r="A150" s="40" t="n">
        <x:v>149</x:v>
      </x:c>
      <x:c r="B150" s="40" t="str">
        <x:v>第 4 年</x:v>
      </x:c>
      <x:c r="C150" s="40" t="str">
        <x:v>M10 Robot 與 IoT：感知、決策、行動</x:v>
      </x:c>
      <x:c r="D150" s="40" t="n">
        <x:v>5</x:v>
      </x:c>
      <x:c r="E150" s="40" t="str">
        <x:v>循線車模擬：規則控制</x:v>
      </x:c>
      <x:c r="F150" s="40" t="str">
        <x:v>機器人／控制／IoT／通訊／安全</x:v>
      </x:c>
      <x:c r="G150" s="40" t="str">
        <x:v>把左右感測值轉成轉向規則</x:v>
      </x:c>
      <x:c r="H150" s="40" t="str">
        <x:v>00–10 任務開場：循線車模擬：規則控制
10–25 概念示範：把左右感測值轉成轉向規則
25–65 父子共同實作：先在紙上/模擬器測試，再移到實體車（若有）
65–75 休息／走動／聊天
75–105 孩子獨立改造：增加一個自選規則或功能
105–115 角色互換：孩子教爸爸操作與原理
115–120 錄音總結、作品命名、版本存檔</x:v>
      </x:c>
      <x:c r="I150" s="40" t="str">
        <x:v>先在紙上/模擬器測試，再移到實體車（若有）</x:v>
      </x:c>
      <x:c r="J150" s="40" t="str">
        <x:v>機器人任務</x:v>
      </x:c>
      <x:c r="K150" s="40" t="str">
        <x:v>循線控制器</x:v>
      </x:c>
      <x:c r="L150" s="40" t="str">
        <x:v>問題拆解</x:v>
      </x:c>
      <x:c r="M150" s="40" t="str">
        <x:v>檢查電源、機構、急停與活動空間；先做風險評估。</x:v>
      </x:c>
      <x:c r="N150" s="40" t="str">
        <x:v>15–30 分鐘自由改造；寫三句學習日誌：我做了什麼、哪裡卡住、下次想加什麼。</x:v>
      </x:c>
      <x:c r="O150" s="40" t="str">
        <x:v>完成「循線控制器」；能不用看稿說出核心原理；能指出至少一個錯誤、限制或安全注意事項。</x:v>
      </x:c>
      <x:c r="P150" s="40" t="str">
        <x:v>R18</x:v>
      </x:c>
      <x:c r="Q150" s="40" t="str">
        <x:v>https://docs.arduino.cc/</x:v>
      </x:c>
      <x:c r="R150" s="40" t="str">
        <x:v>請孩子回答：1. 循線車模擬：規則控制在解決什麼？2. 我怎麼做？3. 哪裡容易錯？4. 生活中哪裡會用到？</x:v>
      </x:c>
      <x:c r="S150" s="40" t="str">
        <x:v>父子科技課 #149｜循線車模擬：規則控制</x:v>
      </x:c>
      <x:c r="T150" s="40" t="n">
        <x:v>4</x:v>
      </x:c>
      <x:c r="U150" s="38" t="str">
        <x:v>循線車模擬 規則控制 Arduino robot IoT sensors beginner tutorial Arduino</x:v>
      </x:c>
      <x:c r="V150" s="38" t="str">
        <x:v>https://www.youtube.com/results?search_query=%E5%BE%AA%E7%B7%9A%E8%BB%8A%E6%A8%A1%E6%93%AC+%E8%A6%8F%E5%89%87%E6%8E%A7%E5%88%B6+Arduino+robot+IoT+sensors+beginner+tutorial+Arduino</x:v>
      </x:c>
      <x:c r="W150" s="38" t="str">
        <x:v>課前暖身</x:v>
      </x:c>
      <x:c r="X150" s="38" t="str">
        <x:v>循線車模擬 規則控制 把左右感測值轉成轉向規則 hands on project for kids Arduino robot IoT sensors</x:v>
      </x:c>
      <x:c r="Y150" s="38" t="str">
        <x:v>https://www.youtube.com/results?search_query=%E5%BE%AA%E7%B7%9A%E8%BB%8A%E6%A8%A1%E6%93%AC+%E8%A6%8F%E5%89%87%E6%8E%A7%E5%88%B6+%E6%8A%8A%E5%B7%A6%E5%8F%B3%E6%84%9F%E6%B8%AC%E5%80%BC%E8%BD%89%E6%88%90%E8%BD%89%E5%90%91%E8%A6%8F%E5%89%87+hands+on+project+for+kids+Arduino+robot+IoT+sensors</x:v>
      </x:c>
      <x:c r="Z150" s="38" t="str">
        <x:v>課中實作參考</x:v>
      </x:c>
      <x:c r="AA150" s="38" t="str">
        <x:v>循線車模擬 規則控制 中文 教學 原理 安全 親子 Arduino robot IoT sensors</x:v>
      </x:c>
      <x:c r="AB150" s="38" t="str">
        <x:v>https://www.youtube.com/results?search_query=%E5%BE%AA%E7%B7%9A%E8%BB%8A%E6%A8%A1%E6%93%AC+%E8%A6%8F%E5%89%87%E6%8E%A7%E5%88%B6+%E4%B8%AD%E6%96%87+%E6%95%99%E5%AD%B8+%E5%8E%9F%E7%90%86+%E5%AE%89%E5%85%A8+%E8%A6%AA%E5%AD%90+Arduino+robot+IoT+sensors</x:v>
      </x:c>
      <x:c r="AC150" s="38" t="str">
        <x:v>課後延伸／親子討論</x:v>
      </x:c>
    </x:row>
    <x:row r="151" ht="105" customHeight="1">
      <x:c r="A151" s="40" t="n">
        <x:v>150</x:v>
      </x:c>
      <x:c r="B151" s="40" t="str">
        <x:v>第 4 年</x:v>
      </x:c>
      <x:c r="C151" s="40" t="str">
        <x:v>M10 Robot 與 IoT：感知、決策、行動</x:v>
      </x:c>
      <x:c r="D151" s="40" t="n">
        <x:v>6</x:v>
      </x:c>
      <x:c r="E151" s="40" t="str">
        <x:v>狀態機任務：巡邏、發現、追蹤、返回</x:v>
      </x:c>
      <x:c r="F151" s="40" t="str">
        <x:v>機器人／控制／IoT／通訊／安全</x:v>
      </x:c>
      <x:c r="G151" s="40" t="str">
        <x:v>管理多步驟任務與例外狀況</x:v>
      </x:c>
      <x:c r="H151" s="40" t="str">
        <x:v>00–10 任務開場：狀態機任務：巡邏、發現、追蹤、返回
10–25 概念示範：管理多步驟任務與例外狀況
25–65 父子共同實作：設計四狀態巡邏機器人並畫事件轉移
65–75 休息／走動／聊天
75–105 孩子獨立改造：增加一個自選規則或功能
105–115 角色互換：孩子教爸爸操作與原理
115–120 錄音總結、作品命名、版本存檔</x:v>
      </x:c>
      <x:c r="I151" s="40" t="str">
        <x:v>設計四狀態巡邏機器人並畫事件轉移</x:v>
      </x:c>
      <x:c r="J151" s="40" t="str">
        <x:v>故障注入</x:v>
      </x:c>
      <x:c r="K151" s="40" t="str">
        <x:v>任務狀態機</x:v>
      </x:c>
      <x:c r="L151" s="40" t="str">
        <x:v>問題拆解</x:v>
      </x:c>
      <x:c r="M151" s="40" t="str">
        <x:v>檢查電源、機構、急停與活動空間；先做風險評估。</x:v>
      </x:c>
      <x:c r="N151" s="40" t="str">
        <x:v>15–30 分鐘自由改造；寫三句學習日誌：我做了什麼、哪裡卡住、下次想加什麼。</x:v>
      </x:c>
      <x:c r="O151" s="40" t="str">
        <x:v>完成「任務狀態機」；能不用看稿說出核心原理；能指出至少一個錯誤、限制或安全注意事項。</x:v>
      </x:c>
      <x:c r="P151" s="40" t="str">
        <x:v>R18</x:v>
      </x:c>
      <x:c r="Q151" s="40" t="str">
        <x:v>https://docs.arduino.cc/</x:v>
      </x:c>
      <x:c r="R151" s="40" t="str">
        <x:v>請孩子回答：1. 狀態機任務：巡邏、發現、追蹤、返回在解決什麼？2. 我怎麼做？3. 哪裡容易錯？4. 生活中哪裡會用到？</x:v>
      </x:c>
      <x:c r="S151" s="40" t="str">
        <x:v>父子科技課 #150｜狀態機任務：巡邏、發現、追蹤、返回</x:v>
      </x:c>
      <x:c r="T151" s="40" t="n">
        <x:v>4</x:v>
      </x:c>
      <x:c r="U151" s="38" t="str">
        <x:v>狀態機任務 巡邏、發現、追蹤、返回 Arduino robot IoT sensors beginner tutorial Arduino</x:v>
      </x:c>
      <x:c r="V151" s="38" t="str">
        <x:v>https://www.youtube.com/results?search_query=%E7%8B%80%E6%85%8B%E6%A9%9F%E4%BB%BB%E5%8B%99+%E5%B7%A1%E9%82%8F%E3%80%81%E7%99%BC%E7%8F%BE%E3%80%81%E8%BF%BD%E8%B9%A4%E3%80%81%E8%BF%94%E5%9B%9E+Arduino+robot+IoT+sensors+beginner+tutorial+Arduino</x:v>
      </x:c>
      <x:c r="W151" s="38" t="str">
        <x:v>課前暖身</x:v>
      </x:c>
      <x:c r="X151" s="38" t="str">
        <x:v>狀態機任務 巡邏、發現、追蹤、返回 管理多步驟任務與例外狀況 hands on project for kids Arduino robot IoT sensors</x:v>
      </x:c>
      <x:c r="Y151" s="38" t="str">
        <x:v>https://www.youtube.com/results?search_query=%E7%8B%80%E6%85%8B%E6%A9%9F%E4%BB%BB%E5%8B%99+%E5%B7%A1%E9%82%8F%E3%80%81%E7%99%BC%E7%8F%BE%E3%80%81%E8%BF%BD%E8%B9%A4%E3%80%81%E8%BF%94%E5%9B%9E+%E7%AE%A1%E7%90%86%E5%A4%9A%E6%AD%A5%E9%A9%9F%E4%BB%BB%E5%8B%99%E8%88%87%E4%BE%8B%E5%A4%96%E7%8B%80%E6%B3%81+hands+on+project+for+kids+Arduino+robot+IoT+sensors</x:v>
      </x:c>
      <x:c r="Z151" s="38" t="str">
        <x:v>課中實作參考</x:v>
      </x:c>
      <x:c r="AA151" s="38" t="str">
        <x:v>狀態機任務 巡邏、發現、追蹤、返回 中文 教學 原理 安全 親子 Arduino robot IoT sensors</x:v>
      </x:c>
      <x:c r="AB151" s="38" t="str">
        <x:v>https://www.youtube.com/results?search_query=%E7%8B%80%E6%85%8B%E6%A9%9F%E4%BB%BB%E5%8B%99+%E5%B7%A1%E9%82%8F%E3%80%81%E7%99%BC%E7%8F%BE%E3%80%81%E8%BF%BD%E8%B9%A4%E3%80%81%E8%BF%94%E5%9B%9E+%E4%B8%AD%E6%96%87+%E6%95%99%E5%AD%B8+%E5%8E%9F%E7%90%86+%E5%AE%89%E5%85%A8+%E8%A6%AA%E5%AD%90+Arduino+robot+IoT+sensors</x:v>
      </x:c>
      <x:c r="AC151" s="38" t="str">
        <x:v>課後延伸／親子討論</x:v>
      </x:c>
    </x:row>
    <x:row r="152" ht="105" customHeight="1">
      <x:c r="A152" s="40" t="n">
        <x:v>151</x:v>
      </x:c>
      <x:c r="B152" s="40" t="str">
        <x:v>第 4 年</x:v>
      </x:c>
      <x:c r="C152" s="40" t="str">
        <x:v>M10 Robot 與 IoT：感知、決策、行動</x:v>
      </x:c>
      <x:c r="D152" s="40" t="n">
        <x:v>7</x:v>
      </x:c>
      <x:c r="E152" s="40" t="str">
        <x:v>藍牙與 Wi‑Fi：遙控不是魔法</x:v>
      </x:c>
      <x:c r="F152" s="40" t="str">
        <x:v>機器人／控制／IoT／通訊／安全</x:v>
      </x:c>
      <x:c r="G152" s="40" t="str">
        <x:v>理解連線、配對、延遲、封包與斷線</x:v>
      </x:c>
      <x:c r="H152" s="40" t="str">
        <x:v>00–10 任務開場：藍牙與 Wi‑Fi：遙控不是魔法
10–25 概念示範：理解連線、配對、延遲、封包與斷線
25–65 父子共同實作：測試不同距離與遮蔽物，記錄控制延遲
65–75 休息／走動／聊天
75–105 孩子獨立改造：增加一個自選規則或功能
105–115 角色互換：孩子教爸爸操作與原理
115–120 錄音總結、作品命名、版本存檔</x:v>
      </x:c>
      <x:c r="I152" s="40" t="str">
        <x:v>測試不同距離與遮蔽物，記錄控制延遲</x:v>
      </x:c>
      <x:c r="J152" s="40" t="str">
        <x:v>連續五戰</x:v>
      </x:c>
      <x:c r="K152" s="40" t="str">
        <x:v>無線測試表</x:v>
      </x:c>
      <x:c r="L152" s="40" t="str">
        <x:v>系統安全</x:v>
      </x:c>
      <x:c r="M152" s="40" t="str">
        <x:v>檢查電源、機構、急停與活動空間；先做風險評估。</x:v>
      </x:c>
      <x:c r="N152" s="40" t="str">
        <x:v>15–30 分鐘自由改造；寫三句學習日誌：我做了什麼、哪裡卡住、下次想加什麼。</x:v>
      </x:c>
      <x:c r="O152" s="40" t="str">
        <x:v>完成「無線測試表」；能不用看稿說出核心原理；能指出至少一個錯誤、限制或安全注意事項。</x:v>
      </x:c>
      <x:c r="P152" s="40" t="str">
        <x:v>R05</x:v>
      </x:c>
      <x:c r="Q152" s="40" t="str">
        <x:v>https://microbit.org/</x:v>
      </x:c>
      <x:c r="R152" s="40" t="str">
        <x:v>請孩子回答：1. 藍牙與 Wi‑Fi：遙控不是魔法在解決什麼？2. 我怎麼做？3. 哪裡容易錯？4. 生活中哪裡會用到？</x:v>
      </x:c>
      <x:c r="S152" s="40" t="str">
        <x:v>父子科技課 #151｜藍牙與 Wi‑Fi：遙控不是魔法</x:v>
      </x:c>
      <x:c r="T152" s="40" t="n">
        <x:v>4</x:v>
      </x:c>
      <x:c r="U152" s="38" t="str">
        <x:v>藍牙與 Wi‑Fi 遙控不是魔法 Arduino robot IoT sensors beginner tutorial Arduino</x:v>
      </x:c>
      <x:c r="V152" s="38" t="str">
        <x:v>https://www.youtube.com/results?search_query=%E8%97%8D%E7%89%99%E8%88%87+Wi%E2%80%91Fi+%E9%81%99%E6%8E%A7%E4%B8%8D%E6%98%AF%E9%AD%94%E6%B3%95+Arduino+robot+IoT+sensors+beginner+tutorial+Arduino</x:v>
      </x:c>
      <x:c r="W152" s="38" t="str">
        <x:v>課前暖身</x:v>
      </x:c>
      <x:c r="X152" s="38" t="str">
        <x:v>藍牙與 Wi‑Fi 遙控不是魔法 理解連線、配對、延遲、封包與斷線 hands on project for kids Arduino robot IoT sensors</x:v>
      </x:c>
      <x:c r="Y152" s="38" t="str">
        <x:v>https://www.youtube.com/results?search_query=%E8%97%8D%E7%89%99%E8%88%87+Wi%E2%80%91Fi+%E9%81%99%E6%8E%A7%E4%B8%8D%E6%98%AF%E9%AD%94%E6%B3%95+%E7%90%86%E8%A7%A3%E9%80%A3%E7%B7%9A%E3%80%81%E9%85%8D%E5%B0%8D%E3%80%81%E5%BB%B6%E9%81%B2%E3%80%81%E5%B0%81%E5%8C%85%E8%88%87%E6%96%B7%E7%B7%9A+hands+on+project+for+kids+Arduino+robot+IoT+sensors</x:v>
      </x:c>
      <x:c r="Z152" s="38" t="str">
        <x:v>課中實作參考</x:v>
      </x:c>
      <x:c r="AA152" s="38" t="str">
        <x:v>藍牙與 Wi‑Fi 遙控不是魔法 中文 教學 原理 安全 親子 Arduino robot IoT sensors</x:v>
      </x:c>
      <x:c r="AB152" s="38" t="str">
        <x:v>https://www.youtube.com/results?search_query=%E8%97%8D%E7%89%99%E8%88%87+Wi%E2%80%91Fi+%E9%81%99%E6%8E%A7%E4%B8%8D%E6%98%AF%E9%AD%94%E6%B3%95+%E4%B8%AD%E6%96%87+%E6%95%99%E5%AD%B8+%E5%8E%9F%E7%90%86+%E5%AE%89%E5%85%A8+%E8%A6%AA%E5%AD%90+Arduino+robot+IoT+sensors</x:v>
      </x:c>
      <x:c r="AC152" s="38" t="str">
        <x:v>課後延伸／親子討論</x:v>
      </x:c>
    </x:row>
    <x:row r="153" ht="105" customHeight="1">
      <x:c r="A153" s="40" t="n">
        <x:v>152</x:v>
      </x:c>
      <x:c r="B153" s="40" t="str">
        <x:v>第 4 年</x:v>
      </x:c>
      <x:c r="C153" s="40" t="str">
        <x:v>M10 Robot 與 IoT：感知、決策、行動</x:v>
      </x:c>
      <x:c r="D153" s="40" t="n">
        <x:v>8</x:v>
      </x:c>
      <x:c r="E153" s="40" t="str">
        <x:v>MQTT 與訊息主題</x:v>
      </x:c>
      <x:c r="F153" s="40" t="str">
        <x:v>機器人／控制／IoT／通訊／安全</x:v>
      </x:c>
      <x:c r="G153" s="40" t="str">
        <x:v>理解 publish/subscribe、topic 與鬆耦合</x:v>
      </x:c>
      <x:c r="H153" s="40" t="str">
        <x:v>00–10 任務開場：MQTT 與訊息主題
10–25 概念示範：理解 publish/subscribe、topic 與鬆耦合
25–65 父子共同實作：用紙條或本機模擬溫度發布、風扇訂閱
65–75 休息／走動／聊天
75–105 孩子獨立改造：增加一個自選規則或功能
105–115 角色互換：孩子教爸爸操作與原理
115–120 錄音總結、作品命名、版本存檔</x:v>
      </x:c>
      <x:c r="I153" s="40" t="str">
        <x:v>用紙條或本機模擬溫度發布、風扇訂閱</x:v>
      </x:c>
      <x:c r="J153" s="40" t="str">
        <x:v>安全審查</x:v>
      </x:c>
      <x:c r="K153" s="40" t="str">
        <x:v>IoT 訊息架構</x:v>
      </x:c>
      <x:c r="L153" s="40" t="str">
        <x:v>系統安全</x:v>
      </x:c>
      <x:c r="M153" s="40" t="str">
        <x:v>檢查電源、機構、急停與活動空間；先做風險評估。</x:v>
      </x:c>
      <x:c r="N153" s="40" t="str">
        <x:v>15–30 分鐘自由改造；寫三句學習日誌：我做了什麼、哪裡卡住、下次想加什麼。</x:v>
      </x:c>
      <x:c r="O153" s="40" t="str">
        <x:v>完成「IoT 訊息架構」；能不用看稿說出核心原理；能指出至少一個錯誤、限制或安全注意事項。</x:v>
      </x:c>
      <x:c r="P153" s="40" t="str">
        <x:v>R18</x:v>
      </x:c>
      <x:c r="Q153" s="40" t="str">
        <x:v>https://docs.arduino.cc/</x:v>
      </x:c>
      <x:c r="R153" s="40" t="str">
        <x:v>請孩子回答：1. MQTT 與訊息主題在解決什麼？2. 我怎麼做？3. 哪裡容易錯？4. 生活中哪裡會用到？</x:v>
      </x:c>
      <x:c r="S153" s="40" t="str">
        <x:v>父子科技課 #152｜MQTT 與訊息主題</x:v>
      </x:c>
      <x:c r="T153" s="40" t="n">
        <x:v>4</x:v>
      </x:c>
      <x:c r="U153" s="38" t="str">
        <x:v>MQTT 與訊息主題 Arduino robot IoT sensors beginner tutorial Arduino</x:v>
      </x:c>
      <x:c r="V153" s="38" t="str">
        <x:v>https://www.youtube.com/results?search_query=MQTT+%E8%88%87%E8%A8%8A%E6%81%AF%E4%B8%BB%E9%A1%8C+Arduino+robot+IoT+sensors+beginner+tutorial+Arduino</x:v>
      </x:c>
      <x:c r="W153" s="38" t="str">
        <x:v>課前暖身</x:v>
      </x:c>
      <x:c r="X153" s="38" t="str">
        <x:v>MQTT 與訊息主題 理解 publish/subscribe、topic 與鬆耦合 hands on project for kids Arduino robot IoT sensors</x:v>
      </x:c>
      <x:c r="Y153" s="38" t="str">
        <x:v>https://www.youtube.com/results?search_query=MQTT+%E8%88%87%E8%A8%8A%E6%81%AF%E4%B8%BB%E9%A1%8C+%E7%90%86%E8%A7%A3+publish%2Fsubscribe%E3%80%81topic+%E8%88%87%E9%AC%86%E8%80%A6%E5%90%88+hands+on+project+for+kids+Arduino+robot+IoT+sensors</x:v>
      </x:c>
      <x:c r="Z153" s="38" t="str">
        <x:v>課中實作參考</x:v>
      </x:c>
      <x:c r="AA153" s="38" t="str">
        <x:v>MQTT 與訊息主題 中文 教學 原理 安全 親子 Arduino robot IoT sensors</x:v>
      </x:c>
      <x:c r="AB153" s="38" t="str">
        <x:v>https://www.youtube.com/results?search_query=MQTT+%E8%88%87%E8%A8%8A%E6%81%AF%E4%B8%BB%E9%A1%8C+%E4%B8%AD%E6%96%87+%E6%95%99%E5%AD%B8+%E5%8E%9F%E7%90%86+%E5%AE%89%E5%85%A8+%E8%A6%AA%E5%AD%90+Arduino+robot+IoT+sensors</x:v>
      </x:c>
      <x:c r="AC153" s="38" t="str">
        <x:v>課後延伸／親子討論</x:v>
      </x:c>
    </x:row>
    <x:row r="154" ht="105" customHeight="1">
      <x:c r="A154" s="40" t="n">
        <x:v>153</x:v>
      </x:c>
      <x:c r="B154" s="40" t="str">
        <x:v>第 4 年</x:v>
      </x:c>
      <x:c r="C154" s="40" t="str">
        <x:v>M10 Robot 與 IoT：感知、決策、行動</x:v>
      </x:c>
      <x:c r="D154" s="40" t="n">
        <x:v>9</x:v>
      </x:c>
      <x:c r="E154" s="40" t="str">
        <x:v>智慧家庭與 Home Automation 思維</x:v>
      </x:c>
      <x:c r="F154" s="40" t="str">
        <x:v>機器人／控制／IoT／通訊／安全</x:v>
      </x:c>
      <x:c r="G154" s="40" t="str">
        <x:v>區分感測、規則、排程、通知與人工覆寫</x:v>
      </x:c>
      <x:c r="H154" s="40" t="str">
        <x:v>00–10 任務開場：智慧家庭與 Home Automation 思維
10–25 概念示範：區分感測、規則、排程、通知與人工覆寫
25–65 父子共同實作：設計『離家模式』流程並加入失敗時的手動方案
65–75 休息／走動／聊天
75–105 孩子獨立改造：增加一個自選規則或功能
105–115 角色互換：孩子教爸爸操作與原理
115–120 錄音總結、作品命名、版本存檔</x:v>
      </x:c>
      <x:c r="I154" s="40" t="str">
        <x:v>設計『離家模式』流程並加入失敗時的手動方案</x:v>
      </x:c>
      <x:c r="J154" s="40" t="str">
        <x:v>機器人任務</x:v>
      </x:c>
      <x:c r="K154" s="40" t="str">
        <x:v>家庭自動化流程</x:v>
      </x:c>
      <x:c r="L154" s="40" t="str">
        <x:v>合作與回饋</x:v>
      </x:c>
      <x:c r="M154" s="40" t="str">
        <x:v>檢查電源、機構、急停與活動空間；先做風險評估。</x:v>
      </x:c>
      <x:c r="N154" s="40" t="str">
        <x:v>15–30 分鐘自由改造；寫三句學習日誌：我做了什麼、哪裡卡住、下次想加什麼。</x:v>
      </x:c>
      <x:c r="O154" s="40" t="str">
        <x:v>完成「家庭自動化流程」；能不用看稿說出核心原理；能指出至少一個錯誤、限制或安全注意事項。</x:v>
      </x:c>
      <x:c r="P154" s="40" t="str">
        <x:v>R18</x:v>
      </x:c>
      <x:c r="Q154" s="40" t="str">
        <x:v>https://docs.arduino.cc/</x:v>
      </x:c>
      <x:c r="R154" s="40" t="str">
        <x:v>請孩子回答：1. 智慧家庭與 Home Automation 思維在解決什麼？2. 我怎麼做？3. 哪裡容易錯？4. 生活中哪裡會用到？</x:v>
      </x:c>
      <x:c r="S154" s="40" t="str">
        <x:v>父子科技課 #153｜智慧家庭與 Home Automation 思維</x:v>
      </x:c>
      <x:c r="T154" s="40" t="n">
        <x:v>5</x:v>
      </x:c>
      <x:c r="U154" s="38" t="str">
        <x:v>智慧家庭與 Home Automation 思維 Arduino robot IoT sensors beginner tutorial Arduino</x:v>
      </x:c>
      <x:c r="V154" s="38" t="str">
        <x:v>https://www.youtube.com/results?search_query=%E6%99%BA%E6%85%A7%E5%AE%B6%E5%BA%AD%E8%88%87+Home+Automation+%E6%80%9D%E7%B6%AD+Arduino+robot+IoT+sensors+beginner+tutorial+Arduino</x:v>
      </x:c>
      <x:c r="W154" s="38" t="str">
        <x:v>課前暖身</x:v>
      </x:c>
      <x:c r="X154" s="38" t="str">
        <x:v>智慧家庭與 Home Automation 思維 區分感測、規則、排程、通知與人工覆寫 hands on project for kids Arduino robot IoT sensors</x:v>
      </x:c>
      <x:c r="Y154" s="38" t="str">
        <x:v>https://www.youtube.com/results?search_query=%E6%99%BA%E6%85%A7%E5%AE%B6%E5%BA%AD%E8%88%87+Home+Automation+%E6%80%9D%E7%B6%AD+%E5%8D%80%E5%88%86%E6%84%9F%E6%B8%AC%E3%80%81%E8%A6%8F%E5%89%87%E3%80%81%E6%8E%92%E7%A8%8B%E3%80%81%E9%80%9A%E7%9F%A5%E8%88%87%E4%BA%BA%E5%B7%A5%E8%A6%86%E5%AF%AB+hands+on+project+for+kids+Arduino+robot+IoT+sensors</x:v>
      </x:c>
      <x:c r="Z154" s="38" t="str">
        <x:v>課中實作參考</x:v>
      </x:c>
      <x:c r="AA154" s="38" t="str">
        <x:v>智慧家庭與 Home Automation 思維 中文 教學 原理 安全 親子 Arduino robot IoT sensors</x:v>
      </x:c>
      <x:c r="AB154" s="38" t="str">
        <x:v>https://www.youtube.com/results?search_query=%E6%99%BA%E6%85%A7%E5%AE%B6%E5%BA%AD%E8%88%87+Home+Automation+%E6%80%9D%E7%B6%AD+%E4%B8%AD%E6%96%87+%E6%95%99%E5%AD%B8+%E5%8E%9F%E7%90%86+%E5%AE%89%E5%85%A8+%E8%A6%AA%E5%AD%90+Arduino+robot+IoT+sensors</x:v>
      </x:c>
      <x:c r="AC154" s="38" t="str">
        <x:v>課後延伸／親子討論</x:v>
      </x:c>
    </x:row>
    <x:row r="155" ht="105" customHeight="1">
      <x:c r="A155" s="40" t="n">
        <x:v>154</x:v>
      </x:c>
      <x:c r="B155" s="40" t="str">
        <x:v>第 4 年</x:v>
      </x:c>
      <x:c r="C155" s="40" t="str">
        <x:v>M10 Robot 與 IoT：感知、決策、行動</x:v>
      </x:c>
      <x:c r="D155" s="40" t="n">
        <x:v>10</x:v>
      </x:c>
      <x:c r="E155" s="40" t="str">
        <x:v>機器視覺：看見不等於理解</x:v>
      </x:c>
      <x:c r="F155" s="40" t="str">
        <x:v>機器人／控制／IoT／通訊／安全</x:v>
      </x:c>
      <x:c r="G155" s="40" t="str">
        <x:v>理解影像輸入、偵測/分類、光線與隱私限制</x:v>
      </x:c>
      <x:c r="H155" s="40" t="str">
        <x:v>00–10 任務開場：機器視覺：看見不等於理解
10–25 概念示範：理解影像輸入、偵測/分類、光線與隱私限制
25–65 父子共同實作：用 Teachable Machine 或攝影機辨識兩種物件
65–75 休息／走動／聊天
75–105 孩子獨立改造：增加一個自選規則或功能
105–115 角色互換：孩子教爸爸操作與原理
115–120 錄音總結、作品命名、版本存檔</x:v>
      </x:c>
      <x:c r="I155" s="40" t="str">
        <x:v>用 Teachable Machine 或攝影機辨識兩種物件</x:v>
      </x:c>
      <x:c r="J155" s="40" t="str">
        <x:v>故障注入</x:v>
      </x:c>
      <x:c r="K155" s="40" t="str">
        <x:v>視覺感測 Demo</x:v>
      </x:c>
      <x:c r="L155" s="40" t="str">
        <x:v>系統安全</x:v>
      </x:c>
      <x:c r="M155" s="40" t="str">
        <x:v>檢查電源、機構、急停與活動空間；先做風險評估。</x:v>
      </x:c>
      <x:c r="N155" s="40" t="str">
        <x:v>15–30 分鐘自由改造；寫三句學習日誌：我做了什麼、哪裡卡住、下次想加什麼。</x:v>
      </x:c>
      <x:c r="O155" s="40" t="str">
        <x:v>完成「視覺感測 Demo」；能不用看稿說出核心原理；能指出至少一個錯誤、限制或安全注意事項。</x:v>
      </x:c>
      <x:c r="P155" s="40" t="str">
        <x:v>R10</x:v>
      </x:c>
      <x:c r="Q155" s="40" t="str">
        <x:v>https://teachablemachine.withgoogle.com/</x:v>
      </x:c>
      <x:c r="R155" s="40" t="str">
        <x:v>請孩子回答：1. 機器視覺：看見不等於理解在解決什麼？2. 我怎麼做？3. 哪裡容易錯？4. 生活中哪裡會用到？</x:v>
      </x:c>
      <x:c r="S155" s="40" t="str">
        <x:v>父子科技課 #154｜機器視覺：看見不等於理解</x:v>
      </x:c>
      <x:c r="T155" s="40" t="n">
        <x:v>5</x:v>
      </x:c>
      <x:c r="U155" s="38" t="str">
        <x:v>機器視覺 看見不等於理解 Arduino robot IoT sensors beginner tutorial Arduino</x:v>
      </x:c>
      <x:c r="V155" s="38" t="str">
        <x:v>https://www.youtube.com/results?search_query=%E6%A9%9F%E5%99%A8%E8%A6%96%E8%A6%BA+%E7%9C%8B%E8%A6%8B%E4%B8%8D%E7%AD%89%E6%96%BC%E7%90%86%E8%A7%A3+Arduino+robot+IoT+sensors+beginner+tutorial+Arduino</x:v>
      </x:c>
      <x:c r="W155" s="38" t="str">
        <x:v>課前暖身</x:v>
      </x:c>
      <x:c r="X155" s="38" t="str">
        <x:v>機器視覺 看見不等於理解 理解影像輸入、偵測/分類、光線與隱私限制 hands on project for kids Arduino robot IoT sensors</x:v>
      </x:c>
      <x:c r="Y155" s="38" t="str">
        <x:v>https://www.youtube.com/results?search_query=%E6%A9%9F%E5%99%A8%E8%A6%96%E8%A6%BA+%E7%9C%8B%E8%A6%8B%E4%B8%8D%E7%AD%89%E6%96%BC%E7%90%86%E8%A7%A3+%E7%90%86%E8%A7%A3%E5%BD%B1%E5%83%8F%E8%BC%B8%E5%85%A5%E3%80%81%E5%81%B5%E6%B8%AC%2F%E5%88%86%E9%A1%9E%E3%80%81%E5%85%89%E7%B7%9A%E8%88%87%E9%9A%B1%E7%A7%81%E9%99%90%E5%88%B6+hands+on+project+for+kids+Arduino+robot+IoT+sensors</x:v>
      </x:c>
      <x:c r="Z155" s="38" t="str">
        <x:v>課中實作參考</x:v>
      </x:c>
      <x:c r="AA155" s="38" t="str">
        <x:v>機器視覺 看見不等於理解 中文 教學 原理 安全 親子 Arduino robot IoT sensors</x:v>
      </x:c>
      <x:c r="AB155" s="38" t="str">
        <x:v>https://www.youtube.com/results?search_query=%E6%A9%9F%E5%99%A8%E8%A6%96%E8%A6%BA+%E7%9C%8B%E8%A6%8B%E4%B8%8D%E7%AD%89%E6%96%BC%E7%90%86%E8%A7%A3+%E4%B8%AD%E6%96%87+%E6%95%99%E5%AD%B8+%E5%8E%9F%E7%90%86+%E5%AE%89%E5%85%A8+%E8%A6%AA%E5%AD%90+Arduino+robot+IoT+sensors</x:v>
      </x:c>
      <x:c r="AC155" s="38" t="str">
        <x:v>課後延伸／親子討論</x:v>
      </x:c>
    </x:row>
    <x:row r="156" ht="105" customHeight="1">
      <x:c r="A156" s="40" t="n">
        <x:v>155</x:v>
      </x:c>
      <x:c r="B156" s="40" t="str">
        <x:v>第 4 年</x:v>
      </x:c>
      <x:c r="C156" s="40" t="str">
        <x:v>M10 Robot 與 IoT：感知、決策、行動</x:v>
      </x:c>
      <x:c r="D156" s="40" t="n">
        <x:v>11</x:v>
      </x:c>
      <x:c r="E156" s="40" t="str">
        <x:v>語音介面：聽錯時怎麼辦</x:v>
      </x:c>
      <x:c r="F156" s="40" t="str">
        <x:v>機器人／控制／IoT／通訊／安全</x:v>
      </x:c>
      <x:c r="G156" s="40" t="str">
        <x:v>設計喚醒、意圖、確認與錯誤恢復</x:v>
      </x:c>
      <x:c r="H156" s="40" t="str">
        <x:v>00–10 任務開場：語音介面：聽錯時怎麼辦
10–25 概念示範：設計喚醒、意圖、確認與錯誤恢復
25–65 父子共同實作：製作三指令語音控制流程，危險動作需二次確認
65–75 休息／走動／聊天
75–105 孩子獨立改造：增加一個自選規則或功能
105–115 角色互換：孩子教爸爸操作與原理
115–120 錄音總結、作品命名、版本存檔</x:v>
      </x:c>
      <x:c r="I156" s="40" t="str">
        <x:v>製作三指令語音控制流程，危險動作需二次確認</x:v>
      </x:c>
      <x:c r="J156" s="40" t="str">
        <x:v>連續五戰</x:v>
      </x:c>
      <x:c r="K156" s="40" t="str">
        <x:v>Voice UI 規格</x:v>
      </x:c>
      <x:c r="L156" s="40" t="str">
        <x:v>系統安全</x:v>
      </x:c>
      <x:c r="M156" s="40" t="str">
        <x:v>檢查電源、機構、急停與活動空間；先做風險評估。</x:v>
      </x:c>
      <x:c r="N156" s="40" t="str">
        <x:v>15–30 分鐘自由改造；寫三句學習日誌：我做了什麼、哪裡卡住、下次想加什麼。</x:v>
      </x:c>
      <x:c r="O156" s="40" t="str">
        <x:v>完成「Voice UI 規格」；能不用看稿說出核心原理；能指出至少一個錯誤、限制或安全注意事項。</x:v>
      </x:c>
      <x:c r="P156" s="40" t="str">
        <x:v>R20</x:v>
      </x:c>
      <x:c r="Q156" s="40" t="str">
        <x:v>https://academy.openai.com/</x:v>
      </x:c>
      <x:c r="R156" s="40" t="str">
        <x:v>請孩子回答：1. 語音介面：聽錯時怎麼辦在解決什麼？2. 我怎麼做？3. 哪裡容易錯？4. 生活中哪裡會用到？</x:v>
      </x:c>
      <x:c r="S156" s="40" t="str">
        <x:v>父子科技課 #155｜語音介面：聽錯時怎麼辦</x:v>
      </x:c>
      <x:c r="T156" s="40" t="n">
        <x:v>5</x:v>
      </x:c>
      <x:c r="U156" s="38" t="str">
        <x:v>語音介面 聽錯時怎麼辦 Arduino robot IoT sensors beginner tutorial Arduino</x:v>
      </x:c>
      <x:c r="V156" s="38" t="str">
        <x:v>https://www.youtube.com/results?search_query=%E8%AA%9E%E9%9F%B3%E4%BB%8B%E9%9D%A2+%E8%81%BD%E9%8C%AF%E6%99%82%E6%80%8E%E9%BA%BC%E8%BE%A6+Arduino+robot+IoT+sensors+beginner+tutorial+Arduino</x:v>
      </x:c>
      <x:c r="W156" s="38" t="str">
        <x:v>課前暖身</x:v>
      </x:c>
      <x:c r="X156" s="38" t="str">
        <x:v>語音介面 聽錯時怎麼辦 設計喚醒、意圖、確認與錯誤恢復 hands on project for kids Arduino robot IoT sensors</x:v>
      </x:c>
      <x:c r="Y156" s="38" t="str">
        <x:v>https://www.youtube.com/results?search_query=%E8%AA%9E%E9%9F%B3%E4%BB%8B%E9%9D%A2+%E8%81%BD%E9%8C%AF%E6%99%82%E6%80%8E%E9%BA%BC%E8%BE%A6+%E8%A8%AD%E8%A8%88%E5%96%9A%E9%86%92%E3%80%81%E6%84%8F%E5%9C%96%E3%80%81%E7%A2%BA%E8%AA%8D%E8%88%87%E9%8C%AF%E8%AA%A4%E6%81%A2%E5%BE%A9+hands+on+project+for+kids+Arduino+robot+IoT+sensors</x:v>
      </x:c>
      <x:c r="Z156" s="38" t="str">
        <x:v>課中實作參考</x:v>
      </x:c>
      <x:c r="AA156" s="38" t="str">
        <x:v>語音介面 聽錯時怎麼辦 中文 教學 原理 安全 親子 Arduino robot IoT sensors</x:v>
      </x:c>
      <x:c r="AB156" s="38" t="str">
        <x:v>https://www.youtube.com/results?search_query=%E8%AA%9E%E9%9F%B3%E4%BB%8B%E9%9D%A2+%E8%81%BD%E9%8C%AF%E6%99%82%E6%80%8E%E9%BA%BC%E8%BE%A6+%E4%B8%AD%E6%96%87+%E6%95%99%E5%AD%B8+%E5%8E%9F%E7%90%86+%E5%AE%89%E5%85%A8+%E8%A6%AA%E5%AD%90+Arduino+robot+IoT+sensors</x:v>
      </x:c>
      <x:c r="AC156" s="38" t="str">
        <x:v>課後延伸／親子討論</x:v>
      </x:c>
    </x:row>
    <x:row r="157" ht="105" customHeight="1">
      <x:c r="A157" s="40" t="n">
        <x:v>156</x:v>
      </x:c>
      <x:c r="B157" s="40" t="str">
        <x:v>第 4 年</x:v>
      </x:c>
      <x:c r="C157" s="40" t="str">
        <x:v>M10 Robot 與 IoT：感知、決策、行動</x:v>
      </x:c>
      <x:c r="D157" s="40" t="n">
        <x:v>12</x:v>
      </x:c>
      <x:c r="E157" s="40" t="str">
        <x:v>Fail-safe：機器人首先不能傷人</x:v>
      </x:c>
      <x:c r="F157" s="40" t="str">
        <x:v>機器人／控制／IoT／通訊／安全</x:v>
      </x:c>
      <x:c r="G157" s="40" t="str">
        <x:v>建立急停、速度限制、超時、邊界與降級模式</x:v>
      </x:c>
      <x:c r="H157" s="40" t="str">
        <x:v>00–10 任務開場：Fail-safe：機器人首先不能傷人
10–25 概念示範：建立急停、速度限制、超時、邊界與降級模式
25–65 父子共同實作：對原型進行風險盤點並加三層安全措施
65–75 休息／走動／聊天
75–105 孩子獨立改造：增加一個自選規則或功能
105–115 角色互換：孩子教爸爸操作與原理
115–120 錄音總結、作品命名、版本存檔</x:v>
      </x:c>
      <x:c r="I157" s="40" t="str">
        <x:v>對原型進行風險盤點並加三層安全措施</x:v>
      </x:c>
      <x:c r="J157" s="40" t="str">
        <x:v>安全審查</x:v>
      </x:c>
      <x:c r="K157" s="40" t="str">
        <x:v>機器人安全清單</x:v>
      </x:c>
      <x:c r="L157" s="40" t="str">
        <x:v>安全</x:v>
      </x:c>
      <x:c r="M157" s="40" t="str">
        <x:v>檢查電源、機構、急停與活動空間；先做風險評估。</x:v>
      </x:c>
      <x:c r="N157" s="40" t="str">
        <x:v>15–30 分鐘自由改造；寫三句學習日誌：我做了什麼、哪裡卡住、下次想加什麼。</x:v>
      </x:c>
      <x:c r="O157" s="40" t="str">
        <x:v>完成「機器人安全清單」；能不用看稿說出核心原理；能指出至少一個錯誤、限制或安全注意事項。</x:v>
      </x:c>
      <x:c r="P157" s="40" t="str">
        <x:v>R18</x:v>
      </x:c>
      <x:c r="Q157" s="40" t="str">
        <x:v>https://docs.arduino.cc/</x:v>
      </x:c>
      <x:c r="R157" s="40" t="str">
        <x:v>請孩子回答：1. Fail-safe：機器人首先不能傷人在解決什麼？2. 我怎麼做？3. 哪裡容易錯？4. 生活中哪裡會用到？</x:v>
      </x:c>
      <x:c r="S157" s="40" t="str">
        <x:v>父子科技課 #156｜Fail-safe：機器人首先不能傷人</x:v>
      </x:c>
      <x:c r="T157" s="40" t="n">
        <x:v>5</x:v>
      </x:c>
      <x:c r="U157" s="38" t="str">
        <x:v>Fail safe 機器人首先不能傷人 Arduino robot IoT sensors beginner tutorial Arduino</x:v>
      </x:c>
      <x:c r="V157" s="38" t="str">
        <x:v>https://www.youtube.com/results?search_query=Fail+safe+%E6%A9%9F%E5%99%A8%E4%BA%BA%E9%A6%96%E5%85%88%E4%B8%8D%E8%83%BD%E5%82%B7%E4%BA%BA+Arduino+robot+IoT+sensors+beginner+tutorial+Arduino</x:v>
      </x:c>
      <x:c r="W157" s="38" t="str">
        <x:v>課前暖身</x:v>
      </x:c>
      <x:c r="X157" s="38" t="str">
        <x:v>Fail safe 機器人首先不能傷人 建立急停、速度限制、超時、邊界與降級模式 hands on project for kids Arduino robot IoT sensors</x:v>
      </x:c>
      <x:c r="Y157" s="38" t="str">
        <x:v>https://www.youtube.com/results?search_query=Fail+safe+%E6%A9%9F%E5%99%A8%E4%BA%BA%E9%A6%96%E5%85%88%E4%B8%8D%E8%83%BD%E5%82%B7%E4%BA%BA+%E5%BB%BA%E7%AB%8B%E6%80%A5%E5%81%9C%E3%80%81%E9%80%9F%E5%BA%A6%E9%99%90%E5%88%B6%E3%80%81%E8%B6%85%E6%99%82%E3%80%81%E9%82%8A%E7%95%8C%E8%88%87%E9%99%8D%E7%B4%9A%E6%A8%A1%E5%BC%8F+hands+on+project+for+kids+Arduino+robot+IoT+sensors</x:v>
      </x:c>
      <x:c r="Z157" s="38" t="str">
        <x:v>課中實作參考</x:v>
      </x:c>
      <x:c r="AA157" s="38" t="str">
        <x:v>Fail safe 機器人首先不能傷人 中文 教學 原理 安全 親子 Arduino robot IoT sensors</x:v>
      </x:c>
      <x:c r="AB157" s="38" t="str">
        <x:v>https://www.youtube.com/results?search_query=Fail+safe+%E6%A9%9F%E5%99%A8%E4%BA%BA%E9%A6%96%E5%85%88%E4%B8%8D%E8%83%BD%E5%82%B7%E4%BA%BA+%E4%B8%AD%E6%96%87+%E6%95%99%E5%AD%B8+%E5%8E%9F%E7%90%86+%E5%AE%89%E5%85%A8+%E8%A6%AA%E5%AD%90+Arduino+robot+IoT+sensors</x:v>
      </x:c>
      <x:c r="AC157" s="38" t="str">
        <x:v>課後延伸／親子討論</x:v>
      </x:c>
    </x:row>
    <x:row r="158" ht="105" customHeight="1">
      <x:c r="A158" s="40" t="n">
        <x:v>157</x:v>
      </x:c>
      <x:c r="B158" s="40" t="str">
        <x:v>第 4 年</x:v>
      </x:c>
      <x:c r="C158" s="40" t="str">
        <x:v>M10 Robot 與 IoT：感知、決策、行動</x:v>
      </x:c>
      <x:c r="D158" s="40" t="n">
        <x:v>13</x:v>
      </x:c>
      <x:c r="E158" s="40" t="str">
        <x:v>Robot Mission 企劃</x:v>
      </x:c>
      <x:c r="F158" s="40" t="str">
        <x:v>機器人／控制／IoT／通訊／安全</x:v>
      </x:c>
      <x:c r="G158" s="40" t="str">
        <x:v>從使用情境定義任務、場地、成功率與限制</x:v>
      </x:c>
      <x:c r="H158" s="40" t="str">
        <x:v>00–10 任務開場：Robot Mission 企劃
10–25 概念示範：從使用情境定義任務、場地、成功率與限制
25–65 父子共同實作：選擇搬運、巡檢、提醒或互動任務，寫任務腳本
65–75 休息／走動／聊天
75–105 孩子獨立改造：增加一個自選規則或功能
105–115 角色互換：孩子教爸爸操作與原理
115–120 錄音總結、作品命名、版本存檔</x:v>
      </x:c>
      <x:c r="I158" s="40" t="str">
        <x:v>選擇搬運、巡檢、提醒或互動任務，寫任務腳本</x:v>
      </x:c>
      <x:c r="J158" s="40" t="str">
        <x:v>機器人任務</x:v>
      </x:c>
      <x:c r="K158" s="40" t="str">
        <x:v>任務規格書</x:v>
      </x:c>
      <x:c r="L158" s="40" t="str">
        <x:v>系統安全</x:v>
      </x:c>
      <x:c r="M158" s="40" t="str">
        <x:v>檢查電源、機構、急停與活動空間；先做風險評估。</x:v>
      </x:c>
      <x:c r="N158" s="40" t="str">
        <x:v>15–30 分鐘自由改造；寫三句學習日誌：我做了什麼、哪裡卡住、下次想加什麼。</x:v>
      </x:c>
      <x:c r="O158" s="40" t="str">
        <x:v>完成「任務規格書」；能不用看稿說出核心原理；能指出至少一個錯誤、限制或安全注意事項。</x:v>
      </x:c>
      <x:c r="P158" s="40" t="str">
        <x:v>R18</x:v>
      </x:c>
      <x:c r="Q158" s="40" t="str">
        <x:v>https://docs.arduino.cc/</x:v>
      </x:c>
      <x:c r="R158" s="40" t="str">
        <x:v>請孩子回答：1. Robot Mission 企劃在解決什麼？2. 我怎麼做？3. 哪裡容易錯？4. 生活中哪裡會用到？</x:v>
      </x:c>
      <x:c r="S158" s="40" t="str">
        <x:v>父子科技課 #157｜Robot Mission 企劃</x:v>
      </x:c>
      <x:c r="T158" s="40" t="n">
        <x:v>5</x:v>
      </x:c>
      <x:c r="U158" s="38" t="str">
        <x:v>Robot Mission 企劃 Arduino robot IoT sensors beginner tutorial Arduino</x:v>
      </x:c>
      <x:c r="V158" s="38" t="str">
        <x:v>https://www.youtube.com/results?search_query=Robot+Mission+%E4%BC%81%E5%8A%83+Arduino+robot+IoT+sensors+beginner+tutorial+Arduino</x:v>
      </x:c>
      <x:c r="W158" s="38" t="str">
        <x:v>課前暖身</x:v>
      </x:c>
      <x:c r="X158" s="38" t="str">
        <x:v>Robot Mission 企劃 從使用情境定義任務、場地、成功率與限制 hands on project for kids Arduino robot IoT sensors</x:v>
      </x:c>
      <x:c r="Y158" s="38" t="str">
        <x:v>https://www.youtube.com/results?search_query=Robot+Mission+%E4%BC%81%E5%8A%83+%E5%BE%9E%E4%BD%BF%E7%94%A8%E6%83%85%E5%A2%83%E5%AE%9A%E7%BE%A9%E4%BB%BB%E5%8B%99%E3%80%81%E5%A0%B4%E5%9C%B0%E3%80%81%E6%88%90%E5%8A%9F%E7%8E%87%E8%88%87%E9%99%90%E5%88%B6+hands+on+project+for+kids+Arduino+robot+IoT+sensors</x:v>
      </x:c>
      <x:c r="Z158" s="38" t="str">
        <x:v>課中實作參考</x:v>
      </x:c>
      <x:c r="AA158" s="38" t="str">
        <x:v>Robot Mission 企劃 中文 教學 原理 安全 親子 Arduino robot IoT sensors</x:v>
      </x:c>
      <x:c r="AB158" s="38" t="str">
        <x:v>https://www.youtube.com/results?search_query=Robot+Mission+%E4%BC%81%E5%8A%83+%E4%B8%AD%E6%96%87+%E6%95%99%E5%AD%B8+%E5%8E%9F%E7%90%86+%E5%AE%89%E5%85%A8+%E8%A6%AA%E5%AD%90+Arduino+robot+IoT+sensors</x:v>
      </x:c>
      <x:c r="AC158" s="38" t="str">
        <x:v>課後延伸／親子討論</x:v>
      </x:c>
    </x:row>
    <x:row r="159" ht="105" customHeight="1">
      <x:c r="A159" s="40" t="n">
        <x:v>158</x:v>
      </x:c>
      <x:c r="B159" s="40" t="str">
        <x:v>第 4 年</x:v>
      </x:c>
      <x:c r="C159" s="40" t="str">
        <x:v>M10 Robot 與 IoT：感知、決策、行動</x:v>
      </x:c>
      <x:c r="D159" s="40" t="n">
        <x:v>14</x:v>
      </x:c>
      <x:c r="E159" s="40" t="str">
        <x:v>原型整合 Sprint</x:v>
      </x:c>
      <x:c r="F159" s="40" t="str">
        <x:v>機器人／控制／IoT／通訊／安全</x:v>
      </x:c>
      <x:c r="G159" s="40" t="str">
        <x:v>整合感測、控制、通訊與機構，建立可運作路徑</x:v>
      </x:c>
      <x:c r="H159" s="40" t="str">
        <x:v>00–10 任務開場：原型整合 Sprint
10–25 概念示範：整合感測、控制、通訊與機構，建立可運作路徑
25–65 父子共同實作：優先完成一條端到端任務，不追求外觀
65–75 休息／走動／聊天
75–105 孩子獨立改造：增加一個自選規則或功能
105–115 角色互換：孩子教爸爸操作與原理
115–120 錄音總結、作品命名、版本存檔</x:v>
      </x:c>
      <x:c r="I159" s="40" t="str">
        <x:v>優先完成一條端到端任務，不追求外觀</x:v>
      </x:c>
      <x:c r="J159" s="40" t="str">
        <x:v>故障注入</x:v>
      </x:c>
      <x:c r="K159" s="40" t="str">
        <x:v>Robot Alpha</x:v>
      </x:c>
      <x:c r="L159" s="40" t="str">
        <x:v>系統安全</x:v>
      </x:c>
      <x:c r="M159" s="40" t="str">
        <x:v>檢查電源、機構、急停與活動空間；先做風險評估。</x:v>
      </x:c>
      <x:c r="N159" s="40" t="str">
        <x:v>15–30 分鐘自由改造；寫三句學習日誌：我做了什麼、哪裡卡住、下次想加什麼。</x:v>
      </x:c>
      <x:c r="O159" s="40" t="str">
        <x:v>完成「Robot Alpha」；能不用看稿說出核心原理；能指出至少一個錯誤、限制或安全注意事項。</x:v>
      </x:c>
      <x:c r="P159" s="40" t="str">
        <x:v>R18</x:v>
      </x:c>
      <x:c r="Q159" s="40" t="str">
        <x:v>https://docs.arduino.cc/</x:v>
      </x:c>
      <x:c r="R159" s="40" t="str">
        <x:v>請孩子回答：1. 原型整合 Sprint在解決什麼？2. 我怎麼做？3. 哪裡容易錯？4. 生活中哪裡會用到？</x:v>
      </x:c>
      <x:c r="S159" s="40" t="str">
        <x:v>父子科技課 #158｜原型整合 Sprint</x:v>
      </x:c>
      <x:c r="T159" s="40" t="n">
        <x:v>5</x:v>
      </x:c>
      <x:c r="U159" s="38" t="str">
        <x:v>原型整合 Sprint Arduino robot IoT sensors beginner tutorial Arduino</x:v>
      </x:c>
      <x:c r="V159" s="38" t="str">
        <x:v>https://www.youtube.com/results?search_query=%E5%8E%9F%E5%9E%8B%E6%95%B4%E5%90%88+Sprint+Arduino+robot+IoT+sensors+beginner+tutorial+Arduino</x:v>
      </x:c>
      <x:c r="W159" s="38" t="str">
        <x:v>課前暖身</x:v>
      </x:c>
      <x:c r="X159" s="38" t="str">
        <x:v>原型整合 Sprint 整合感測、控制、通訊與機構，建立可運作路徑 hands on project for kids Arduino robot IoT sensors</x:v>
      </x:c>
      <x:c r="Y159" s="38" t="str">
        <x:v>https://www.youtube.com/results?search_query=%E5%8E%9F%E5%9E%8B%E6%95%B4%E5%90%88+Sprint+%E6%95%B4%E5%90%88%E6%84%9F%E6%B8%AC%E3%80%81%E6%8E%A7%E5%88%B6%E3%80%81%E9%80%9A%E8%A8%8A%E8%88%87%E6%A9%9F%E6%A7%8B%EF%BC%8C%E5%BB%BA%E7%AB%8B%E5%8F%AF%E9%81%8B%E4%BD%9C%E8%B7%AF%E5%BE%91+hands+on+project+for+kids+Arduino+robot+IoT+sensors</x:v>
      </x:c>
      <x:c r="Z159" s="38" t="str">
        <x:v>課中實作參考</x:v>
      </x:c>
      <x:c r="AA159" s="38" t="str">
        <x:v>原型整合 Sprint 中文 教學 原理 安全 親子 Arduino robot IoT sensors</x:v>
      </x:c>
      <x:c r="AB159" s="38" t="str">
        <x:v>https://www.youtube.com/results?search_query=%E5%8E%9F%E5%9E%8B%E6%95%B4%E5%90%88+Sprint+%E4%B8%AD%E6%96%87+%E6%95%99%E5%AD%B8+%E5%8E%9F%E7%90%86+%E5%AE%89%E5%85%A8+%E8%A6%AA%E5%AD%90+Arduino+robot+IoT+sensors</x:v>
      </x:c>
      <x:c r="AC159" s="38" t="str">
        <x:v>課後延伸／親子討論</x:v>
      </x:c>
    </x:row>
    <x:row r="160" ht="105" customHeight="1">
      <x:c r="A160" s="40" t="n">
        <x:v>159</x:v>
      </x:c>
      <x:c r="B160" s="40" t="str">
        <x:v>第 4 年</x:v>
      </x:c>
      <x:c r="C160" s="40" t="str">
        <x:v>M10 Robot 與 IoT：感知、決策、行動</x:v>
      </x:c>
      <x:c r="D160" s="40" t="n">
        <x:v>15</x:v>
      </x:c>
      <x:c r="E160" s="40" t="str">
        <x:v>整合測試與故障注入</x:v>
      </x:c>
      <x:c r="F160" s="40" t="str">
        <x:v>機器人／控制／IoT／通訊／安全</x:v>
      </x:c>
      <x:c r="G160" s="40" t="str">
        <x:v>驗證電量低、感測失效、斷線、卡住與誤判</x:v>
      </x:c>
      <x:c r="H160" s="40" t="str">
        <x:v>00–10 任務開場：整合測試與故障注入
10–25 概念示範：驗證電量低、感測失效、斷線、卡住與誤判
25–65 父子共同實作：爸爸抽故障卡，孩子依 log 與檢查表處理
65–75 休息／走動／聊天
75–105 孩子獨立改造：增加一個自選規則或功能
105–115 角色互換：孩子教爸爸操作與原理
115–120 錄音總結、作品命名、版本存檔</x:v>
      </x:c>
      <x:c r="I160" s="40" t="str">
        <x:v>爸爸抽故障卡，孩子依 log 與檢查表處理</x:v>
      </x:c>
      <x:c r="J160" s="40" t="str">
        <x:v>連續五戰</x:v>
      </x:c>
      <x:c r="K160" s="40" t="str">
        <x:v>可靠度測試報告</x:v>
      </x:c>
      <x:c r="L160" s="40" t="str">
        <x:v>問題拆解</x:v>
      </x:c>
      <x:c r="M160" s="40" t="str">
        <x:v>檢查電源、機構、急停與活動空間；先做風險評估。</x:v>
      </x:c>
      <x:c r="N160" s="40" t="str">
        <x:v>15–30 分鐘自由改造；寫三句學習日誌：我做了什麼、哪裡卡住、下次想加什麼。</x:v>
      </x:c>
      <x:c r="O160" s="40" t="str">
        <x:v>完成「可靠度測試報告」；能不用看稿說出核心原理；能指出至少一個錯誤、限制或安全注意事項。</x:v>
      </x:c>
      <x:c r="P160" s="40" t="str">
        <x:v>R18</x:v>
      </x:c>
      <x:c r="Q160" s="40" t="str">
        <x:v>https://docs.arduino.cc/</x:v>
      </x:c>
      <x:c r="R160" s="40" t="str">
        <x:v>請孩子回答：1. 整合測試與故障注入在解決什麼？2. 我怎麼做？3. 哪裡容易錯？4. 生活中哪裡會用到？</x:v>
      </x:c>
      <x:c r="S160" s="40" t="str">
        <x:v>父子科技課 #159｜整合測試與故障注入</x:v>
      </x:c>
      <x:c r="T160" s="40" t="n">
        <x:v>5</x:v>
      </x:c>
      <x:c r="U160" s="38" t="str">
        <x:v>整合測試與故障注入 Arduino robot IoT sensors beginner tutorial Arduino</x:v>
      </x:c>
      <x:c r="V160" s="38" t="str">
        <x:v>https://www.youtube.com/results?search_query=%E6%95%B4%E5%90%88%E6%B8%AC%E8%A9%A6%E8%88%87%E6%95%85%E9%9A%9C%E6%B3%A8%E5%85%A5+Arduino+robot+IoT+sensors+beginner+tutorial+Arduino</x:v>
      </x:c>
      <x:c r="W160" s="38" t="str">
        <x:v>課前暖身</x:v>
      </x:c>
      <x:c r="X160" s="38" t="str">
        <x:v>整合測試與故障注入 驗證電量低、感測失效、斷線、卡住與誤判 hands on project for kids Arduino robot IoT sensors</x:v>
      </x:c>
      <x:c r="Y160" s="38" t="str">
        <x:v>https://www.youtube.com/results?search_query=%E6%95%B4%E5%90%88%E6%B8%AC%E8%A9%A6%E8%88%87%E6%95%85%E9%9A%9C%E6%B3%A8%E5%85%A5+%E9%A9%97%E8%AD%89%E9%9B%BB%E9%87%8F%E4%BD%8E%E3%80%81%E6%84%9F%E6%B8%AC%E5%A4%B1%E6%95%88%E3%80%81%E6%96%B7%E7%B7%9A%E3%80%81%E5%8D%A1%E4%BD%8F%E8%88%87%E8%AA%A4%E5%88%A4+hands+on+project+for+kids+Arduino+robot+IoT+sensors</x:v>
      </x:c>
      <x:c r="Z160" s="38" t="str">
        <x:v>課中實作參考</x:v>
      </x:c>
      <x:c r="AA160" s="38" t="str">
        <x:v>整合測試與故障注入 中文 教學 原理 安全 親子 Arduino robot IoT sensors</x:v>
      </x:c>
      <x:c r="AB160" s="38" t="str">
        <x:v>https://www.youtube.com/results?search_query=%E6%95%B4%E5%90%88%E6%B8%AC%E8%A9%A6%E8%88%87%E6%95%85%E9%9A%9C%E6%B3%A8%E5%85%A5+%E4%B8%AD%E6%96%87+%E6%95%99%E5%AD%B8+%E5%8E%9F%E7%90%86+%E5%AE%89%E5%85%A8+%E8%A6%AA%E5%AD%90+Arduino+robot+IoT+sensors</x:v>
      </x:c>
      <x:c r="AC160" s="38" t="str">
        <x:v>課後延伸／親子討論</x:v>
      </x:c>
    </x:row>
    <x:row r="161" ht="105" customHeight="1">
      <x:c r="A161" s="40" t="n">
        <x:v>160</x:v>
      </x:c>
      <x:c r="B161" s="40" t="str">
        <x:v>第 4 年</x:v>
      </x:c>
      <x:c r="C161" s="40" t="str">
        <x:v>M10 Robot 與 IoT：感知、決策、行動</x:v>
      </x:c>
      <x:c r="D161" s="40" t="n">
        <x:v>16</x:v>
      </x:c>
      <x:c r="E161" s="40" t="str">
        <x:v>Robot Challenge Day</x:v>
      </x:c>
      <x:c r="F161" s="40" t="str">
        <x:v>機器人／控制／IoT／通訊／安全</x:v>
      </x:c>
      <x:c r="G161" s="40" t="str">
        <x:v>以成功率、時間、安全與可解釋性完成競賽</x:v>
      </x:c>
      <x:c r="H161" s="40" t="str">
        <x:v>00–10 任務開場：Robot Challenge Day
10–25 概念示範：以成功率、時間、安全與可解釋性完成競賽
25–65 父子共同實作：連續挑戰 5 次，計算成功率並公開失敗影片
65–75 休息／走動／聊天
75–105 孩子獨立改造：增加一個自選規則或功能
105–115 角色互換：孩子教爸爸操作與原理
115–120 錄音總結、作品命名、版本存檔</x:v>
      </x:c>
      <x:c r="I161" s="40" t="str">
        <x:v>連續挑戰 5 次，計算成功率並公開失敗影片</x:v>
      </x:c>
      <x:c r="J161" s="40" t="str">
        <x:v>安全審查</x:v>
      </x:c>
      <x:c r="K161" s="40" t="str">
        <x:v>Robot 正式版＋挑戰影片</x:v>
      </x:c>
      <x:c r="L161" s="40" t="str">
        <x:v>系統安全</x:v>
      </x:c>
      <x:c r="M161" s="40" t="str">
        <x:v>檢查電源、機構、急停與活動空間；先做風險評估。</x:v>
      </x:c>
      <x:c r="N161" s="40" t="str">
        <x:v>15–30 分鐘自由改造；寫三句學習日誌：我做了什麼、哪裡卡住、下次想加什麼。</x:v>
      </x:c>
      <x:c r="O161" s="40" t="str">
        <x:v>完成「Robot 正式版＋挑戰影片」；能不用看稿說出核心原理；能指出至少一個錯誤、限制或安全注意事項。</x:v>
      </x:c>
      <x:c r="P161" s="40" t="str">
        <x:v>R18</x:v>
      </x:c>
      <x:c r="Q161" s="40" t="str">
        <x:v>https://docs.arduino.cc/</x:v>
      </x:c>
      <x:c r="R161" s="40" t="str">
        <x:v>請孩子回答：1. Robot Challenge Day在解決什麼？2. 我怎麼做？3. 哪裡容易錯？4. 生活中哪裡會用到？</x:v>
      </x:c>
      <x:c r="S161" s="40" t="str">
        <x:v>父子科技課 #160｜Robot Challenge Day</x:v>
      </x:c>
      <x:c r="T161" s="40" t="n">
        <x:v>5</x:v>
      </x:c>
      <x:c r="U161" s="38" t="str">
        <x:v>Robot Challenge Day Arduino robot IoT sensors beginner tutorial Arduino</x:v>
      </x:c>
      <x:c r="V161" s="38" t="str">
        <x:v>https://www.youtube.com/results?search_query=Robot+Challenge+Day+Arduino+robot+IoT+sensors+beginner+tutorial+Arduino</x:v>
      </x:c>
      <x:c r="W161" s="38" t="str">
        <x:v>課前暖身</x:v>
      </x:c>
      <x:c r="X161" s="38" t="str">
        <x:v>Robot Challenge Day 以成功率、時間、安全與可解釋性完成競賽 hands on project for kids Arduino robot IoT sensors</x:v>
      </x:c>
      <x:c r="Y161" s="38" t="str">
        <x:v>https://www.youtube.com/results?search_query=Robot+Challenge+Day+%E4%BB%A5%E6%88%90%E5%8A%9F%E7%8E%87%E3%80%81%E6%99%82%E9%96%93%E3%80%81%E5%AE%89%E5%85%A8%E8%88%87%E5%8F%AF%E8%A7%A3%E9%87%8B%E6%80%A7%E5%AE%8C%E6%88%90%E7%AB%B6%E8%B3%BD+hands+on+project+for+kids+Arduino+robot+IoT+sensors</x:v>
      </x:c>
      <x:c r="Z161" s="38" t="str">
        <x:v>課中實作參考</x:v>
      </x:c>
      <x:c r="AA161" s="38" t="str">
        <x:v>Robot Challenge Day 中文 教學 原理 安全 親子 Arduino robot IoT sensors</x:v>
      </x:c>
      <x:c r="AB161" s="38" t="str">
        <x:v>https://www.youtube.com/results?search_query=Robot+Challenge+Day+%E4%B8%AD%E6%96%87+%E6%95%99%E5%AD%B8+%E5%8E%9F%E7%90%86+%E5%AE%89%E5%85%A8+%E8%A6%AA%E5%AD%90+Arduino+robot+IoT+sensors</x:v>
      </x:c>
      <x:c r="AC161" s="38" t="str">
        <x:v>課後延伸／親子討論</x:v>
      </x:c>
    </x:row>
    <x:row r="162" ht="105" customHeight="1">
      <x:c r="A162" s="40" t="n">
        <x:v>161</x:v>
      </x:c>
      <x:c r="B162" s="40" t="str">
        <x:v>第 4 年</x:v>
      </x:c>
      <x:c r="C162" s="40" t="str">
        <x:v>M11 AI Agent 與自動化工程</x:v>
      </x:c>
      <x:c r="D162" s="40" t="n">
        <x:v>1</x:v>
      </x:c>
      <x:c r="E162" s="40" t="str">
        <x:v>自動化、工作流與 Agent 差在哪</x:v>
      </x:c>
      <x:c r="F162" s="40" t="str">
        <x:v>工作流／API／JSON／Agent／評估／Coding Agent</x:v>
      </x:c>
      <x:c r="G162" s="40" t="str">
        <x:v>依任務不確定性與決策需求選擇正確架構</x:v>
      </x:c>
      <x:c r="H162" s="40" t="str">
        <x:v>00–10 任務開場：自動化、工作流與 Agent 差在哪
10–25 概念示範：依任務不確定性與決策需求選擇正確架構
25–65 父子共同實作：將 10 個生活任務分類為腳本、工作流、Agent 或不該自動化
65–75 休息／走動／聊天
75–105 孩子獨立改造：增加一個自選規則或功能
105–115 角色互換：孩子教爸爸操作與原理
115–120 錄音總結、作品命名、版本存檔</x:v>
      </x:c>
      <x:c r="I162" s="40" t="str">
        <x:v>將 10 個生活任務分類為腳本、工作流、Agent 或不該自動化</x:v>
      </x:c>
      <x:c r="J162" s="40" t="str">
        <x:v>Agent 角色扮演</x:v>
      </x:c>
      <x:c r="K162" s="40" t="str">
        <x:v>架構選擇表</x:v>
      </x:c>
      <x:c r="L162" s="40" t="str">
        <x:v>自動化責任</x:v>
      </x:c>
      <x:c r="M162" s="40" t="str">
        <x:v>使用測試帳號與假資料；API Key 不寫入 repo，所有寫入動作先 dry-run。</x:v>
      </x:c>
      <x:c r="N162" s="40" t="str">
        <x:v>15–30 分鐘自由改造；寫三句學習日誌：我做了什麼、哪裡卡住、下次想加什麼。</x:v>
      </x:c>
      <x:c r="O162" s="40" t="str">
        <x:v>完成「架構選擇表」；能不用看稿說出核心原理；能指出至少一個錯誤、限制或安全注意事項。</x:v>
      </x:c>
      <x:c r="P162" s="40" t="str">
        <x:v>R20</x:v>
      </x:c>
      <x:c r="Q162" s="40" t="str">
        <x:v>https://academy.openai.com/</x:v>
      </x:c>
      <x:c r="R162" s="40" t="str">
        <x:v>請孩子回答：1. 自動化、工作流與 Agent 差在哪在解決什麼？2. 我怎麼做？3. 哪裡容易錯？4. 生活中哪裡會用到？</x:v>
      </x:c>
      <x:c r="S162" s="40" t="str">
        <x:v>父子科技課 #161｜自動化、工作流與 Agent 差在哪</x:v>
      </x:c>
      <x:c r="T162" s="40" t="n">
        <x:v>4</x:v>
      </x:c>
      <x:c r="U162" s="38" t="str">
        <x:v>自動化、工作流與 Agent 差在哪 AI agents automation prompt engineering beginner tutorial OpenAI</x:v>
      </x:c>
      <x:c r="V162" s="38" t="str">
        <x:v>https://www.youtube.com/results?search_query=%E8%87%AA%E5%8B%95%E5%8C%96%E3%80%81%E5%B7%A5%E4%BD%9C%E6%B5%81%E8%88%87+Agent+%E5%B7%AE%E5%9C%A8%E5%93%AA+AI+agents+automation+prompt+engineering+beginner+tutorial+OpenAI</x:v>
      </x:c>
      <x:c r="W162" s="38" t="str">
        <x:v>課前暖身</x:v>
      </x:c>
      <x:c r="X162" s="38" t="str">
        <x:v>自動化、工作流與 Agent 差在哪 依任務不確定性與決策需求選擇正確架構 hands on project for kids AI agents automation prompt engineering</x:v>
      </x:c>
      <x:c r="Y162" s="38" t="str">
        <x:v>https://www.youtube.com/results?search_query=%E8%87%AA%E5%8B%95%E5%8C%96%E3%80%81%E5%B7%A5%E4%BD%9C%E6%B5%81%E8%88%87+Agent+%E5%B7%AE%E5%9C%A8%E5%93%AA+%E4%BE%9D%E4%BB%BB%E5%8B%99%E4%B8%8D%E7%A2%BA%E5%AE%9A%E6%80%A7%E8%88%87%E6%B1%BA%E7%AD%96%E9%9C%80%E6%B1%82%E9%81%B8%E6%93%87%E6%AD%A3%E7%A2%BA%E6%9E%B6%E6%A7%8B+hands+on+project+for+kids+AI+agents+automation+prompt+engineering</x:v>
      </x:c>
      <x:c r="Z162" s="38" t="str">
        <x:v>課中實作參考</x:v>
      </x:c>
      <x:c r="AA162" s="38" t="str">
        <x:v>自動化、工作流與 Agent 差在哪 中文 教學 原理 安全 親子 AI agents automation prompt engineering</x:v>
      </x:c>
      <x:c r="AB162" s="38" t="str">
        <x:v>https://www.youtube.com/results?search_query=%E8%87%AA%E5%8B%95%E5%8C%96%E3%80%81%E5%B7%A5%E4%BD%9C%E6%B5%81%E8%88%87+Agent+%E5%B7%AE%E5%9C%A8%E5%93%AA+%E4%B8%AD%E6%96%87+%E6%95%99%E5%AD%B8+%E5%8E%9F%E7%90%86+%E5%AE%89%E5%85%A8+%E8%A6%AA%E5%AD%90+AI+agents+automation+prompt+engineering</x:v>
      </x:c>
      <x:c r="AC162" s="38" t="str">
        <x:v>課後延伸／親子討論</x:v>
      </x:c>
    </x:row>
    <x:row r="163" ht="105" customHeight="1">
      <x:c r="A163" s="40" t="n">
        <x:v>162</x:v>
      </x:c>
      <x:c r="B163" s="40" t="str">
        <x:v>第 4 年</x:v>
      </x:c>
      <x:c r="C163" s="40" t="str">
        <x:v>M11 AI Agent 與自動化工程</x:v>
      </x:c>
      <x:c r="D163" s="40" t="n">
        <x:v>2</x:v>
      </x:c>
      <x:c r="E163" s="40" t="str">
        <x:v>先畫流程再寫程式</x:v>
      </x:c>
      <x:c r="F163" s="40" t="str">
        <x:v>工作流／API／JSON／Agent／評估／Coding Agent</x:v>
      </x:c>
      <x:c r="G163" s="40" t="str">
        <x:v>用輸入、步驟、分支、錯誤、輸出描述工作流</x:v>
      </x:c>
      <x:c r="H163" s="40" t="str">
        <x:v>00–10 任務開場：先畫流程再寫程式
10–25 概念示範：用輸入、步驟、分支、錯誤、輸出描述工作流
25–65 父子共同實作：畫出錄音→文字稿→PPT→TTS→影片流程
65–75 休息／走動／聊天
75–105 孩子獨立改造：增加一個自選規則或功能
105–115 角色互換：孩子教爸爸操作與原理
115–120 錄音總結、作品命名、版本存檔</x:v>
      </x:c>
      <x:c r="I163" s="40" t="str">
        <x:v>畫出錄音→文字稿→PPT→TTS→影片流程</x:v>
      </x:c>
      <x:c r="J163" s="40" t="str">
        <x:v>攻擊卡</x:v>
      </x:c>
      <x:c r="K163" s="40" t="str">
        <x:v>內容工廠流程圖</x:v>
      </x:c>
      <x:c r="L163" s="40" t="str">
        <x:v>問題拆解</x:v>
      </x:c>
      <x:c r="M163" s="40" t="str">
        <x:v>使用測試帳號與假資料；API Key 不寫入 repo，所有寫入動作先 dry-run。</x:v>
      </x:c>
      <x:c r="N163" s="40" t="str">
        <x:v>15–30 分鐘自由改造；寫三句學習日誌：我做了什麼、哪裡卡住、下次想加什麼。</x:v>
      </x:c>
      <x:c r="O163" s="40" t="str">
        <x:v>完成「內容工廠流程圖」；能不用看稿說出核心原理；能指出至少一個錯誤、限制或安全注意事項。</x:v>
      </x:c>
      <x:c r="P163" s="40" t="str">
        <x:v>R20</x:v>
      </x:c>
      <x:c r="Q163" s="40" t="str">
        <x:v>https://academy.openai.com/</x:v>
      </x:c>
      <x:c r="R163" s="40" t="str">
        <x:v>請孩子回答：1. 先畫流程再寫程式在解決什麼？2. 我怎麼做？3. 哪裡容易錯？4. 生活中哪裡會用到？</x:v>
      </x:c>
      <x:c r="S163" s="40" t="str">
        <x:v>父子科技課 #162｜先畫流程再寫程式</x:v>
      </x:c>
      <x:c r="T163" s="40" t="n">
        <x:v>4</x:v>
      </x:c>
      <x:c r="U163" s="38" t="str">
        <x:v>先畫流程再寫程式 AI agents automation prompt engineering beginner tutorial OpenAI</x:v>
      </x:c>
      <x:c r="V163" s="38" t="str">
        <x:v>https://www.youtube.com/results?search_query=%E5%85%88%E7%95%AB%E6%B5%81%E7%A8%8B%E5%86%8D%E5%AF%AB%E7%A8%8B%E5%BC%8F+AI+agents+automation+prompt+engineering+beginner+tutorial+OpenAI</x:v>
      </x:c>
      <x:c r="W163" s="38" t="str">
        <x:v>課前暖身</x:v>
      </x:c>
      <x:c r="X163" s="38" t="str">
        <x:v>先畫流程再寫程式 用輸入、步驟、分支、錯誤、輸出描述工作流 hands on project for kids AI agents automation prompt engineering</x:v>
      </x:c>
      <x:c r="Y163" s="38" t="str">
        <x:v>https://www.youtube.com/results?search_query=%E5%85%88%E7%95%AB%E6%B5%81%E7%A8%8B%E5%86%8D%E5%AF%AB%E7%A8%8B%E5%BC%8F+%E7%94%A8%E8%BC%B8%E5%85%A5%E3%80%81%E6%AD%A5%E9%A9%9F%E3%80%81%E5%88%86%E6%94%AF%E3%80%81%E9%8C%AF%E8%AA%A4%E3%80%81%E8%BC%B8%E5%87%BA%E6%8F%8F%E8%BF%B0%E5%B7%A5%E4%BD%9C%E6%B5%81+hands+on+project+for+kids+AI+agents+automation+prompt+engineering</x:v>
      </x:c>
      <x:c r="Z163" s="38" t="str">
        <x:v>課中實作參考</x:v>
      </x:c>
      <x:c r="AA163" s="38" t="str">
        <x:v>先畫流程再寫程式 中文 教學 原理 安全 親子 AI agents automation prompt engineering</x:v>
      </x:c>
      <x:c r="AB163" s="38" t="str">
        <x:v>https://www.youtube.com/results?search_query=%E5%85%88%E7%95%AB%E6%B5%81%E7%A8%8B%E5%86%8D%E5%AF%AB%E7%A8%8B%E5%BC%8F+%E4%B8%AD%E6%96%87+%E6%95%99%E5%AD%B8+%E5%8E%9F%E7%90%86+%E5%AE%89%E5%85%A8+%E8%A6%AA%E5%AD%90+AI+agents+automation+prompt+engineering</x:v>
      </x:c>
      <x:c r="AC163" s="38" t="str">
        <x:v>課後延伸／親子討論</x:v>
      </x:c>
    </x:row>
    <x:row r="164" ht="105" customHeight="1">
      <x:c r="A164" s="40" t="n">
        <x:v>163</x:v>
      </x:c>
      <x:c r="B164" s="40" t="str">
        <x:v>第 4 年</x:v>
      </x:c>
      <x:c r="C164" s="40" t="str">
        <x:v>M11 AI Agent 與自動化工程</x:v>
      </x:c>
      <x:c r="D164" s="40" t="n">
        <x:v>3</x:v>
      </x:c>
      <x:c r="E164" s="40" t="str">
        <x:v>工具就是 Agent 的手腳</x:v>
      </x:c>
      <x:c r="F164" s="40" t="str">
        <x:v>工作流／API／JSON／Agent／評估／Coding Agent</x:v>
      </x:c>
      <x:c r="G164" s="40" t="str">
        <x:v>理解工具名稱、輸入 schema、輸出與失敗情境</x:v>
      </x:c>
      <x:c r="H164" s="40" t="str">
        <x:v>00–10 任務開場：工具就是 Agent 的手腳
10–25 概念示範：理解工具名稱、輸入 schema、輸出與失敗情境
25–65 父子共同實作：設計 calculator、file_search、calendar 三張工具卡
65–75 休息／走動／聊天
75–105 孩子獨立改造：增加一個自選規則或功能
105–115 角色互換：孩子教爸爸操作與原理
115–120 錄音總結、作品命名、版本存檔</x:v>
      </x:c>
      <x:c r="I164" s="40" t="str">
        <x:v>設計 calculator、file_search、calendar 三張工具卡</x:v>
      </x:c>
      <x:c r="J164" s="40" t="str">
        <x:v>基準測試</x:v>
      </x:c>
      <x:c r="K164" s="40" t="str">
        <x:v>Tool Schema 卡</x:v>
      </x:c>
      <x:c r="L164" s="40" t="str">
        <x:v>自動化責任</x:v>
      </x:c>
      <x:c r="M164" s="40" t="str">
        <x:v>使用測試帳號與假資料；API Key 不寫入 repo，所有寫入動作先 dry-run。</x:v>
      </x:c>
      <x:c r="N164" s="40" t="str">
        <x:v>15–30 分鐘自由改造；寫三句學習日誌：我做了什麼、哪裡卡住、下次想加什麼。</x:v>
      </x:c>
      <x:c r="O164" s="40" t="str">
        <x:v>完成「Tool Schema 卡」；能不用看稿說出核心原理；能指出至少一個錯誤、限制或安全注意事項。</x:v>
      </x:c>
      <x:c r="P164" s="40" t="str">
        <x:v>R20</x:v>
      </x:c>
      <x:c r="Q164" s="40" t="str">
        <x:v>https://academy.openai.com/</x:v>
      </x:c>
      <x:c r="R164" s="40" t="str">
        <x:v>請孩子回答：1. 工具就是 Agent 的手腳在解決什麼？2. 我怎麼做？3. 哪裡容易錯？4. 生活中哪裡會用到？</x:v>
      </x:c>
      <x:c r="S164" s="40" t="str">
        <x:v>父子科技課 #163｜工具就是 Agent 的手腳</x:v>
      </x:c>
      <x:c r="T164" s="40" t="n">
        <x:v>4</x:v>
      </x:c>
      <x:c r="U164" s="38" t="str">
        <x:v>工具就是 Agent 的手腳 AI agents automation prompt engineering beginner tutorial OpenAI</x:v>
      </x:c>
      <x:c r="V164" s="38" t="str">
        <x:v>https://www.youtube.com/results?search_query=%E5%B7%A5%E5%85%B7%E5%B0%B1%E6%98%AF+Agent+%E7%9A%84%E6%89%8B%E8%85%B3+AI+agents+automation+prompt+engineering+beginner+tutorial+OpenAI</x:v>
      </x:c>
      <x:c r="W164" s="38" t="str">
        <x:v>課前暖身</x:v>
      </x:c>
      <x:c r="X164" s="38" t="str">
        <x:v>工具就是 Agent 的手腳 理解工具名稱、輸入 schema、輸出與失敗情境 hands on project for kids AI agents automation prompt</x:v>
      </x:c>
      <x:c r="Y164" s="38" t="str">
        <x:v>https://www.youtube.com/results?search_query=%E5%B7%A5%E5%85%B7%E5%B0%B1%E6%98%AF+Agent+%E7%9A%84%E6%89%8B%E8%85%B3+%E7%90%86%E8%A7%A3%E5%B7%A5%E5%85%B7%E5%90%8D%E7%A8%B1%E3%80%81%E8%BC%B8%E5%85%A5+schema%E3%80%81%E8%BC%B8%E5%87%BA%E8%88%87%E5%A4%B1%E6%95%97%E6%83%85%E5%A2%83+hands+on+project+for+kids+AI+agents+automation+prompt+engineering</x:v>
      </x:c>
      <x:c r="Z164" s="38" t="str">
        <x:v>課中實作參考</x:v>
      </x:c>
      <x:c r="AA164" s="38" t="str">
        <x:v>工具就是 Agent 的手腳 中文 教學 原理 安全 親子 AI agents automation prompt engineering</x:v>
      </x:c>
      <x:c r="AB164" s="38" t="str">
        <x:v>https://www.youtube.com/results?search_query=%E5%B7%A5%E5%85%B7%E5%B0%B1%E6%98%AF+Agent+%E7%9A%84%E6%89%8B%E8%85%B3+%E4%B8%AD%E6%96%87+%E6%95%99%E5%AD%B8+%E5%8E%9F%E7%90%86+%E5%AE%89%E5%85%A8+%E8%A6%AA%E5%AD%90+AI+agents+automation+prompt+engineering</x:v>
      </x:c>
      <x:c r="AC164" s="38" t="str">
        <x:v>課後延伸／親子討論</x:v>
      </x:c>
    </x:row>
    <x:row r="165" ht="105" customHeight="1">
      <x:c r="A165" s="40" t="n">
        <x:v>164</x:v>
      </x:c>
      <x:c r="B165" s="40" t="str">
        <x:v>第 4 年</x:v>
      </x:c>
      <x:c r="C165" s="40" t="str">
        <x:v>M11 AI Agent 與自動化工程</x:v>
      </x:c>
      <x:c r="D165" s="40" t="n">
        <x:v>4</x:v>
      </x:c>
      <x:c r="E165" s="40" t="str">
        <x:v>JSON：系統之間的共同語言</x:v>
      </x:c>
      <x:c r="F165" s="40" t="str">
        <x:v>工作流／API／JSON／Agent／評估／Coding Agent</x:v>
      </x:c>
      <x:c r="G165" s="40" t="str">
        <x:v>理解 object、array、key/value、型別與驗證</x:v>
      </x:c>
      <x:c r="H165" s="40" t="str">
        <x:v>00–10 任務開場：JSON：系統之間的共同語言
10–25 概念示範：理解 object、array、key/value、型別與驗證
25–65 父子共同實作：把課程資料轉成 JSON，故意破壞語法再修復
65–75 休息／走動／聊天
75–105 孩子獨立改造：增加一個自選規則或功能
105–115 角色互換：孩子教爸爸操作與原理
115–120 錄音總結、作品命名、版本存檔</x:v>
      </x:c>
      <x:c r="I165" s="40" t="str">
        <x:v>把課程資料轉成 JSON，故意破壞語法再修復</x:v>
      </x:c>
      <x:c r="J165" s="40" t="str">
        <x:v>真實任務</x:v>
      </x:c>
      <x:c r="K165" s="40" t="str">
        <x:v>lesson.json</x:v>
      </x:c>
      <x:c r="L165" s="40" t="str">
        <x:v>自動化責任</x:v>
      </x:c>
      <x:c r="M165" s="40" t="str">
        <x:v>使用測試帳號與假資料；API Key 不寫入 repo，所有寫入動作先 dry-run。</x:v>
      </x:c>
      <x:c r="N165" s="40" t="str">
        <x:v>15–30 分鐘自由改造；寫三句學習日誌：我做了什麼、哪裡卡住、下次想加什麼。</x:v>
      </x:c>
      <x:c r="O165" s="40" t="str">
        <x:v>完成「lesson.json」；能不用看稿說出核心原理；能指出至少一個錯誤、限制或安全注意事項。</x:v>
      </x:c>
      <x:c r="P165" s="40" t="str">
        <x:v>R16</x:v>
      </x:c>
      <x:c r="Q165" s="40" t="str">
        <x:v>https://docs.python.org/3/tutorial/index.html</x:v>
      </x:c>
      <x:c r="R165" s="40" t="str">
        <x:v>請孩子回答：1. JSON：系統之間的共同語言在解決什麼？2. 我怎麼做？3. 哪裡容易錯？4. 生活中哪裡會用到？</x:v>
      </x:c>
      <x:c r="S165" s="40" t="str">
        <x:v>父子科技課 #164｜JSON：系統之間的共同語言</x:v>
      </x:c>
      <x:c r="T165" s="40" t="n">
        <x:v>4</x:v>
      </x:c>
      <x:c r="U165" s="38" t="str">
        <x:v>JSON 系統之間的共同語言 AI agents automation prompt engineering beginner tutorial OpenAI</x:v>
      </x:c>
      <x:c r="V165" s="38" t="str">
        <x:v>https://www.youtube.com/results?search_query=JSON+%E7%B3%BB%E7%B5%B1%E4%B9%8B%E9%96%93%E7%9A%84%E5%85%B1%E5%90%8C%E8%AA%9E%E8%A8%80+AI+agents+automation+prompt+engineering+beginner+tutorial+OpenAI</x:v>
      </x:c>
      <x:c r="W165" s="38" t="str">
        <x:v>課前暖身</x:v>
      </x:c>
      <x:c r="X165" s="38" t="str">
        <x:v>JSON 系統之間的共同語言 理解 object、array、key/value、型別與驗證 hands on project for kids AI agents automation prompt engineering</x:v>
      </x:c>
      <x:c r="Y165" s="38" t="str">
        <x:v>https://www.youtube.com/results?search_query=JSON+%E7%B3%BB%E7%B5%B1%E4%B9%8B%E9%96%93%E7%9A%84%E5%85%B1%E5%90%8C%E8%AA%9E%E8%A8%80+%E7%90%86%E8%A7%A3+object%E3%80%81array%E3%80%81key%2Fvalue%E3%80%81%E5%9E%8B%E5%88%A5%E8%88%87%E9%A9%97%E8%AD%89+hands+on+project+for+kids+AI+agents+automation+prompt+engineering</x:v>
      </x:c>
      <x:c r="Z165" s="38" t="str">
        <x:v>課中實作參考</x:v>
      </x:c>
      <x:c r="AA165" s="38" t="str">
        <x:v>JSON 系統之間的共同語言 中文 教學 原理 安全 親子 AI agents automation prompt engineering</x:v>
      </x:c>
      <x:c r="AB165" s="38" t="str">
        <x:v>https://www.youtube.com/results?search_query=JSON+%E7%B3%BB%E7%B5%B1%E4%B9%8B%E9%96%93%E7%9A%84%E5%85%B1%E5%90%8C%E8%AA%9E%E8%A8%80+%E4%B8%AD%E6%96%87+%E6%95%99%E5%AD%B8+%E5%8E%9F%E7%90%86+%E5%AE%89%E5%85%A8+%E8%A6%AA%E5%AD%90+AI+agents+automation+prompt+engineering</x:v>
      </x:c>
      <x:c r="AC165" s="38" t="str">
        <x:v>課後延伸／親子討論</x:v>
      </x:c>
    </x:row>
    <x:row r="166" ht="105" customHeight="1">
      <x:c r="A166" s="40" t="n">
        <x:v>165</x:v>
      </x:c>
      <x:c r="B166" s="40" t="str">
        <x:v>第 4 年</x:v>
      </x:c>
      <x:c r="C166" s="40" t="str">
        <x:v>M11 AI Agent 與自動化工程</x:v>
      </x:c>
      <x:c r="D166" s="40" t="n">
        <x:v>5</x:v>
      </x:c>
      <x:c r="E166" s="40" t="str">
        <x:v>HTTP 與 API：向另一個系統借能力</x:v>
      </x:c>
      <x:c r="F166" s="40" t="str">
        <x:v>工作流／API／JSON／Agent／評估／Coding Agent</x:v>
      </x:c>
      <x:c r="G166" s="40" t="str">
        <x:v>理解 endpoint、method、request、response、status code</x:v>
      </x:c>
      <x:c r="H166" s="40" t="str">
        <x:v>00–10 任務開場：HTTP 與 API：向另一個系統借能力
10–25 概念示範：理解 endpoint、method、request、response、status code
25–65 父子共同實作：用公開測試 API 或本機模擬查詢資料
65–75 休息／走動／聊天
75–105 孩子獨立改造：增加一個自選規則或功能
105–115 角色互換：孩子教爸爸操作與原理
115–120 錄音總結、作品命名、版本存檔</x:v>
      </x:c>
      <x:c r="I166" s="40" t="str">
        <x:v>用公開測試 API 或本機模擬查詢資料</x:v>
      </x:c>
      <x:c r="J166" s="40" t="str">
        <x:v>Agent 角色扮演</x:v>
      </x:c>
      <x:c r="K166" s="40" t="str">
        <x:v>API 呼叫紀錄</x:v>
      </x:c>
      <x:c r="L166" s="40" t="str">
        <x:v>自動化責任</x:v>
      </x:c>
      <x:c r="M166" s="40" t="str">
        <x:v>使用測試帳號與假資料；API Key 不寫入 repo，所有寫入動作先 dry-run。</x:v>
      </x:c>
      <x:c r="N166" s="40" t="str">
        <x:v>15–30 分鐘自由改造；寫三句學習日誌：我做了什麼、哪裡卡住、下次想加什麼。</x:v>
      </x:c>
      <x:c r="O166" s="40" t="str">
        <x:v>完成「API 呼叫紀錄」；能不用看稿說出核心原理；能指出至少一個錯誤、限制或安全注意事項。</x:v>
      </x:c>
      <x:c r="P166" s="40" t="str">
        <x:v>R17</x:v>
      </x:c>
      <x:c r="Q166" s="40" t="str">
        <x:v>https://developer.mozilla.org/en-US/docs/Learn_web_development</x:v>
      </x:c>
      <x:c r="R166" s="40" t="str">
        <x:v>請孩子回答：1. HTTP 與 API：向另一個系統借能力在解決什麼？2. 我怎麼做？3. 哪裡容易錯？4. 生活中哪裡會用到？</x:v>
      </x:c>
      <x:c r="S166" s="40" t="str">
        <x:v>父子科技課 #165｜HTTP 與 API：向另一個系統借能力</x:v>
      </x:c>
      <x:c r="T166" s="40" t="n">
        <x:v>4</x:v>
      </x:c>
      <x:c r="U166" s="38" t="str">
        <x:v>HTTP 與 API 向另一個系統借能力 AI agents automation prompt engineering beginner tutorial OpenAI</x:v>
      </x:c>
      <x:c r="V166" s="38" t="str">
        <x:v>https://www.youtube.com/results?search_query=HTTP+%E8%88%87+API+%E5%90%91%E5%8F%A6%E4%B8%80%E5%80%8B%E7%B3%BB%E7%B5%B1%E5%80%9F%E8%83%BD%E5%8A%9B+AI+agents+automation+prompt+engineering+beginner+tutorial+OpenAI</x:v>
      </x:c>
      <x:c r="W166" s="38" t="str">
        <x:v>課前暖身</x:v>
      </x:c>
      <x:c r="X166" s="38" t="str">
        <x:v>HTTP 與 API 向另一個系統借能力 理解 endpoint、method、request、response、status code hands on project for kids AI agents</x:v>
      </x:c>
      <x:c r="Y166" s="38" t="str">
        <x:v>https://www.youtube.com/results?search_query=HTTP+%E8%88%87+API+%E5%90%91%E5%8F%A6%E4%B8%80%E5%80%8B%E7%B3%BB%E7%B5%B1%E5%80%9F%E8%83%BD%E5%8A%9B+%E7%90%86%E8%A7%A3+endpoint%E3%80%81method%E3%80%81request%E3%80%81response%E3%80%81status+code+hands+on+project+for+kids+AI+agents+automation+prompt+engineering</x:v>
      </x:c>
      <x:c r="Z166" s="38" t="str">
        <x:v>課中實作參考</x:v>
      </x:c>
      <x:c r="AA166" s="38" t="str">
        <x:v>HTTP 與 API 向另一個系統借能力 中文 教學 原理 安全 親子 AI agents automation prompt engineering</x:v>
      </x:c>
      <x:c r="AB166" s="38" t="str">
        <x:v>https://www.youtube.com/results?search_query=HTTP+%E8%88%87+API+%E5%90%91%E5%8F%A6%E4%B8%80%E5%80%8B%E7%B3%BB%E7%B5%B1%E5%80%9F%E8%83%BD%E5%8A%9B+%E4%B8%AD%E6%96%87+%E6%95%99%E5%AD%B8+%E5%8E%9F%E7%90%86+%E5%AE%89%E5%85%A8+%E8%A6%AA%E5%AD%90+AI+agents+automation+prompt+engineering</x:v>
      </x:c>
      <x:c r="AC166" s="38" t="str">
        <x:v>課後延伸／親子討論</x:v>
      </x:c>
    </x:row>
    <x:row r="167" ht="105" customHeight="1">
      <x:c r="A167" s="40" t="n">
        <x:v>166</x:v>
      </x:c>
      <x:c r="B167" s="40" t="str">
        <x:v>第 4 年</x:v>
      </x:c>
      <x:c r="C167" s="40" t="str">
        <x:v>M11 AI Agent 與自動化工程</x:v>
      </x:c>
      <x:c r="D167" s="40" t="n">
        <x:v>6</x:v>
      </x:c>
      <x:c r="E167" s="40" t="str">
        <x:v>API Key 與秘密管理</x:v>
      </x:c>
      <x:c r="F167" s="40" t="str">
        <x:v>工作流／API／JSON／Agent／評估／Coding Agent</x:v>
      </x:c>
      <x:c r="G167" s="40" t="str">
        <x:v>理解金鑰風險、環境變數、權限最小化與撤銷</x:v>
      </x:c>
      <x:c r="H167" s="40" t="str">
        <x:v>00–10 任務開場：API Key 與秘密管理
10–25 概念示範：理解金鑰風險、環境變數、權限最小化與撤銷
25–65 父子共同實作：掃描一個示範 repo 找出不該提交的秘密
65–75 休息／走動／聊天
75–105 孩子獨立改造：增加一個自選規則或功能
105–115 角色互換：孩子教爸爸操作與原理
115–120 錄音總結、作品命名、版本存檔</x:v>
      </x:c>
      <x:c r="I167" s="40" t="str">
        <x:v>掃描一個示範 repo 找出不該提交的秘密</x:v>
      </x:c>
      <x:c r="J167" s="40" t="str">
        <x:v>攻擊卡</x:v>
      </x:c>
      <x:c r="K167" s="40" t="str">
        <x:v>.env.example＋安全規則</x:v>
      </x:c>
      <x:c r="L167" s="40" t="str">
        <x:v>自動化責任</x:v>
      </x:c>
      <x:c r="M167" s="40" t="str">
        <x:v>使用測試帳號與假資料；API Key 不寫入 repo，所有寫入動作先 dry-run。</x:v>
      </x:c>
      <x:c r="N167" s="40" t="str">
        <x:v>15–30 分鐘自由改造；寫三句學習日誌：我做了什麼、哪裡卡住、下次想加什麼。</x:v>
      </x:c>
      <x:c r="O167" s="40" t="str">
        <x:v>完成「.env.example＋安全規則」；能不用看稿說出核心原理；能指出至少一個錯誤、限制或安全注意事項。</x:v>
      </x:c>
      <x:c r="P167" s="40" t="str">
        <x:v>R14</x:v>
      </x:c>
      <x:c r="Q167" s="40" t="str">
        <x:v>https://skills.github.com/</x:v>
      </x:c>
      <x:c r="R167" s="40" t="str">
        <x:v>請孩子回答：1. API Key 與秘密管理在解決什麼？2. 我怎麼做？3. 哪裡容易錯？4. 生活中哪裡會用到？</x:v>
      </x:c>
      <x:c r="S167" s="40" t="str">
        <x:v>父子科技課 #166｜API Key 與秘密管理</x:v>
      </x:c>
      <x:c r="T167" s="40" t="n">
        <x:v>4</x:v>
      </x:c>
      <x:c r="U167" s="38" t="str">
        <x:v>API Key 與秘密管理 AI agents automation prompt engineering beginner tutorial OpenAI</x:v>
      </x:c>
      <x:c r="V167" s="38" t="str">
        <x:v>https://www.youtube.com/results?search_query=API+Key+%E8%88%87%E7%A7%98%E5%AF%86%E7%AE%A1%E7%90%86+AI+agents+automation+prompt+engineering+beginner+tutorial+OpenAI</x:v>
      </x:c>
      <x:c r="W167" s="38" t="str">
        <x:v>課前暖身</x:v>
      </x:c>
      <x:c r="X167" s="38" t="str">
        <x:v>API Key 與秘密管理 理解金鑰風險、環境變數、權限最小化與撤銷 hands on project for kids AI agents automation prompt engineering</x:v>
      </x:c>
      <x:c r="Y167" s="38" t="str">
        <x:v>https://www.youtube.com/results?search_query=API+Key+%E8%88%87%E7%A7%98%E5%AF%86%E7%AE%A1%E7%90%86+%E7%90%86%E8%A7%A3%E9%87%91%E9%91%B0%E9%A2%A8%E9%9A%AA%E3%80%81%E7%92%B0%E5%A2%83%E8%AE%8A%E6%95%B8%E3%80%81%E6%AC%8A%E9%99%90%E6%9C%80%E5%B0%8F%E5%8C%96%E8%88%87%E6%92%A4%E9%8A%B7+hands+on+project+for+kids+AI+agents+automation+prompt+engineering</x:v>
      </x:c>
      <x:c r="Z167" s="38" t="str">
        <x:v>課中實作參考</x:v>
      </x:c>
      <x:c r="AA167" s="38" t="str">
        <x:v>API Key 與秘密管理 中文 教學 原理 安全 親子 AI agents automation prompt engineering</x:v>
      </x:c>
      <x:c r="AB167" s="38" t="str">
        <x:v>https://www.youtube.com/results?search_query=API+Key+%E8%88%87%E7%A7%98%E5%AF%86%E7%AE%A1%E7%90%86+%E4%B8%AD%E6%96%87+%E6%95%99%E5%AD%B8+%E5%8E%9F%E7%90%86+%E5%AE%89%E5%85%A8+%E8%A6%AA%E5%AD%90+AI+agents+automation+prompt+engineering</x:v>
      </x:c>
      <x:c r="AC167" s="38" t="str">
        <x:v>課後延伸／親子討論</x:v>
      </x:c>
    </x:row>
    <x:row r="168" ht="105" customHeight="1">
      <x:c r="A168" s="40" t="n">
        <x:v>167</x:v>
      </x:c>
      <x:c r="B168" s="40" t="str">
        <x:v>第 4 年</x:v>
      </x:c>
      <x:c r="C168" s="40" t="str">
        <x:v>M11 AI Agent 與自動化工程</x:v>
      </x:c>
      <x:c r="D168" s="40" t="n">
        <x:v>7</x:v>
      </x:c>
      <x:c r="E168" s="40" t="str">
        <x:v>Prompt Template：可重複的工作指令</x:v>
      </x:c>
      <x:c r="F168" s="40" t="str">
        <x:v>工作流／API／JSON／Agent／評估／Coding Agent</x:v>
      </x:c>
      <x:c r="G168" s="40" t="str">
        <x:v>把角色、輸入、步驟、限制、輸出與驗收模板化</x:v>
      </x:c>
      <x:c r="H168" s="40" t="str">
        <x:v>00–10 任務開場：Prompt Template：可重複的工作指令
10–25 概念示範：把角色、輸入、步驟、限制、輸出與驗收模板化
25–65 父子共同實作：設計『文字稿清理器』模板並測 5 種輸入
65–75 休息／走動／聊天
75–105 孩子獨立改造：增加一個自選規則或功能
105–115 角色互換：孩子教爸爸操作與原理
115–120 錄音總結、作品命名、版本存檔</x:v>
      </x:c>
      <x:c r="I168" s="40" t="str">
        <x:v>設計『文字稿清理器』模板並測 5 種輸入</x:v>
      </x:c>
      <x:c r="J168" s="40" t="str">
        <x:v>基準測試</x:v>
      </x:c>
      <x:c r="K168" s="40" t="str">
        <x:v>Prompt Template v1</x:v>
      </x:c>
      <x:c r="L168" s="40" t="str">
        <x:v>自動化責任</x:v>
      </x:c>
      <x:c r="M168" s="40" t="str">
        <x:v>使用測試帳號與假資料；API Key 不寫入 repo，所有寫入動作先 dry-run。</x:v>
      </x:c>
      <x:c r="N168" s="40" t="str">
        <x:v>15–30 分鐘自由改造；寫三句學習日誌：我做了什麼、哪裡卡住、下次想加什麼。</x:v>
      </x:c>
      <x:c r="O168" s="40" t="str">
        <x:v>完成「Prompt Template v1」；能不用看稿說出核心原理；能指出至少一個錯誤、限制或安全注意事項。</x:v>
      </x:c>
      <x:c r="P168" s="40" t="str">
        <x:v>R21</x:v>
      </x:c>
      <x:c r="Q168" s="40" t="str">
        <x:v>https://academy.openai.com/public/clubs/work-users-ynjqu/resources/prompting</x:v>
      </x:c>
      <x:c r="R168" s="40" t="str">
        <x:v>請孩子回答：1. Prompt Template：可重複的工作指令在解決什麼？2. 我怎麼做？3. 哪裡容易錯？4. 生活中哪裡會用到？</x:v>
      </x:c>
      <x:c r="S168" s="40" t="str">
        <x:v>父子科技課 #167｜Prompt Template：可重複的工作指令</x:v>
      </x:c>
      <x:c r="T168" s="40" t="n">
        <x:v>4</x:v>
      </x:c>
      <x:c r="U168" s="38" t="str">
        <x:v>Prompt Template 可重複的工作指令 AI agents automation prompt engineering beginner tutorial OpenAI</x:v>
      </x:c>
      <x:c r="V168" s="38" t="str">
        <x:v>https://www.youtube.com/results?search_query=Prompt+Template+%E5%8F%AF%E9%87%8D%E8%A4%87%E7%9A%84%E5%B7%A5%E4%BD%9C%E6%8C%87%E4%BB%A4+AI+agents+automation+prompt+engineering+beginner+tutorial+OpenAI</x:v>
      </x:c>
      <x:c r="W168" s="38" t="str">
        <x:v>課前暖身</x:v>
      </x:c>
      <x:c r="X168" s="38" t="str">
        <x:v>Prompt Template 可重複的工作指令 把角色、輸入、步驟、限制、輸出與驗收模板化 hands on project for kids AI agents automation prompt engineering</x:v>
      </x:c>
      <x:c r="Y168" s="38" t="str">
        <x:v>https://www.youtube.com/results?search_query=Prompt+Template+%E5%8F%AF%E9%87%8D%E8%A4%87%E7%9A%84%E5%B7%A5%E4%BD%9C%E6%8C%87%E4%BB%A4+%E6%8A%8A%E8%A7%92%E8%89%B2%E3%80%81%E8%BC%B8%E5%85%A5%E3%80%81%E6%AD%A5%E9%A9%9F%E3%80%81%E9%99%90%E5%88%B6%E3%80%81%E8%BC%B8%E5%87%BA%E8%88%87%E9%A9%97%E6%94%B6%E6%A8%A1%E6%9D%BF%E5%8C%96+hands+on+project+for+kids+AI+agents+automation+prompt+engineering</x:v>
      </x:c>
      <x:c r="Z168" s="38" t="str">
        <x:v>課中實作參考</x:v>
      </x:c>
      <x:c r="AA168" s="38" t="str">
        <x:v>Prompt Template 可重複的工作指令 中文 教學 原理 安全 親子 AI agents automation prompt engineering</x:v>
      </x:c>
      <x:c r="AB168" s="38" t="str">
        <x:v>https://www.youtube.com/results?search_query=Prompt+Template+%E5%8F%AF%E9%87%8D%E8%A4%87%E7%9A%84%E5%B7%A5%E4%BD%9C%E6%8C%87%E4%BB%A4+%E4%B8%AD%E6%96%87+%E6%95%99%E5%AD%B8+%E5%8E%9F%E7%90%86+%E5%AE%89%E5%85%A8+%E8%A6%AA%E5%AD%90+AI+agents+automation+prompt+engineering</x:v>
      </x:c>
      <x:c r="AC168" s="38" t="str">
        <x:v>課後延伸／親子討論</x:v>
      </x:c>
    </x:row>
    <x:row r="169" ht="105" customHeight="1">
      <x:c r="A169" s="40" t="n">
        <x:v>168</x:v>
      </x:c>
      <x:c r="B169" s="40" t="str">
        <x:v>第 4 年</x:v>
      </x:c>
      <x:c r="C169" s="40" t="str">
        <x:v>M11 AI Agent 與自動化工程</x:v>
      </x:c>
      <x:c r="D169" s="40" t="n">
        <x:v>8</x:v>
      </x:c>
      <x:c r="E169" s="40" t="str">
        <x:v>Context 與 Memory：記住什麼、忘掉什麼</x:v>
      </x:c>
      <x:c r="F169" s="40" t="str">
        <x:v>工作流／API／JSON／Agent／評估／Coding Agent</x:v>
      </x:c>
      <x:c r="G169" s="40" t="str">
        <x:v>區分當次上下文、長期偏好、文件記憶與敏感資料</x:v>
      </x:c>
      <x:c r="H169" s="40" t="str">
        <x:v>00–10 任務開場：Context 與 Memory：記住什麼、忘掉什麼
10–25 概念示範：區分當次上下文、長期偏好、文件記憶與敏感資料
25–65 父子共同實作：替學習 Agent 設計記憶白名單與刪除規則
65–75 休息／走動／聊天
75–105 孩子獨立改造：增加一個自選規則或功能
105–115 角色互換：孩子教爸爸操作與原理
115–120 錄音總結、作品命名、版本存檔</x:v>
      </x:c>
      <x:c r="I169" s="40" t="str">
        <x:v>替學習 Agent 設計記憶白名單與刪除規則</x:v>
      </x:c>
      <x:c r="J169" s="40" t="str">
        <x:v>真實任務</x:v>
      </x:c>
      <x:c r="K169" s="40" t="str">
        <x:v>Memory Policy</x:v>
      </x:c>
      <x:c r="L169" s="40" t="str">
        <x:v>自動化責任</x:v>
      </x:c>
      <x:c r="M169" s="40" t="str">
        <x:v>使用測試帳號與假資料；API Key 不寫入 repo，所有寫入動作先 dry-run。</x:v>
      </x:c>
      <x:c r="N169" s="40" t="str">
        <x:v>15–30 分鐘自由改造；寫三句學習日誌：我做了什麼、哪裡卡住、下次想加什麼。</x:v>
      </x:c>
      <x:c r="O169" s="40" t="str">
        <x:v>完成「Memory Policy」；能不用看稿說出核心原理；能指出至少一個錯誤、限制或安全注意事項。</x:v>
      </x:c>
      <x:c r="P169" s="40" t="str">
        <x:v>R20</x:v>
      </x:c>
      <x:c r="Q169" s="40" t="str">
        <x:v>https://academy.openai.com/</x:v>
      </x:c>
      <x:c r="R169" s="40" t="str">
        <x:v>請孩子回答：1. Context 與 Memory：記住什麼、忘掉什麼在解決什麼？2. 我怎麼做？3. 哪裡容易錯？4. 生活中哪裡會用到？</x:v>
      </x:c>
      <x:c r="S169" s="40" t="str">
        <x:v>父子科技課 #168｜Context 與 Memory：記住什麼、忘掉什麼</x:v>
      </x:c>
      <x:c r="T169" s="40" t="n">
        <x:v>4</x:v>
      </x:c>
      <x:c r="U169" s="38" t="str">
        <x:v>Context 與 Memory 記住什麼、忘掉什麼 AI agents automation prompt engineering beginner tutorial OpenAI</x:v>
      </x:c>
      <x:c r="V169" s="38" t="str">
        <x:v>https://www.youtube.com/results?search_query=Context+%E8%88%87+Memory+%E8%A8%98%E4%BD%8F%E4%BB%80%E9%BA%BC%E3%80%81%E5%BF%98%E6%8E%89%E4%BB%80%E9%BA%BC+AI+agents+automation+prompt+engineering+beginner+tutorial+OpenAI</x:v>
      </x:c>
      <x:c r="W169" s="38" t="str">
        <x:v>課前暖身</x:v>
      </x:c>
      <x:c r="X169" s="38" t="str">
        <x:v>Context 與 Memory 記住什麼、忘掉什麼 區分當次上下文、長期偏好、文件記憶與敏感資料 hands on project for kids AI agents automation prompt</x:v>
      </x:c>
      <x:c r="Y169" s="38" t="str">
        <x:v>https://www.youtube.com/results?search_query=Context+%E8%88%87+Memory+%E8%A8%98%E4%BD%8F%E4%BB%80%E9%BA%BC%E3%80%81%E5%BF%98%E6%8E%89%E4%BB%80%E9%BA%BC+%E5%8D%80%E5%88%86%E7%95%B6%E6%AC%A1%E4%B8%8A%E4%B8%8B%E6%96%87%E3%80%81%E9%95%B7%E6%9C%9F%E5%81%8F%E5%A5%BD%E3%80%81%E6%96%87%E4%BB%B6%E8%A8%98%E6%86%B6%E8%88%87%E6%95%8F%E6%84%9F%E8%B3%87%E6%96%99+hands+on+project+for+kids+AI+agents+automation+prompt+engineering</x:v>
      </x:c>
      <x:c r="Z169" s="38" t="str">
        <x:v>課中實作參考</x:v>
      </x:c>
      <x:c r="AA169" s="38" t="str">
        <x:v>Context 與 Memory 記住什麼、忘掉什麼 中文 教學 原理 安全 親子 AI agents automation prompt engineering</x:v>
      </x:c>
      <x:c r="AB169" s="38" t="str">
        <x:v>https://www.youtube.com/results?search_query=Context+%E8%88%87+Memory+%E8%A8%98%E4%BD%8F%E4%BB%80%E9%BA%BC%E3%80%81%E5%BF%98%E6%8E%89%E4%BB%80%E9%BA%BC+%E4%B8%AD%E6%96%87+%E6%95%99%E5%AD%B8+%E5%8E%9F%E7%90%86+%E5%AE%89%E5%85%A8+%E8%A6%AA%E5%AD%90+AI+agents+automation+prompt+engineering</x:v>
      </x:c>
      <x:c r="AC169" s="38" t="str">
        <x:v>課後延伸／親子討論</x:v>
      </x:c>
    </x:row>
    <x:row r="170" ht="105" customHeight="1">
      <x:c r="A170" s="40" t="n">
        <x:v>169</x:v>
      </x:c>
      <x:c r="B170" s="40" t="str">
        <x:v>第 4 年</x:v>
      </x:c>
      <x:c r="C170" s="40" t="str">
        <x:v>M11 AI Agent 與自動化工程</x:v>
      </x:c>
      <x:c r="D170" s="40" t="n">
        <x:v>9</x:v>
      </x:c>
      <x:c r="E170" s="40" t="str">
        <x:v>Planner／Executor／Reviewer</x:v>
      </x:c>
      <x:c r="F170" s="40" t="str">
        <x:v>工作流／API／JSON／Agent／評估／Coding Agent</x:v>
      </x:c>
      <x:c r="G170" s="40" t="str">
        <x:v>用角色分工降低遺漏並增加檢查</x:v>
      </x:c>
      <x:c r="H170" s="40" t="str">
        <x:v>00–10 任務開場：Planner／Executor／Reviewer
10–25 概念示範：用角色分工降低遺漏並增加檢查
25–65 父子共同實作：父子分演規劃者、執行者、審查者完成資料整理任務
65–75 休息／走動／聊天
75–105 孩子獨立改造：增加一個自選規則或功能
105–115 角色互換：孩子教爸爸操作與原理
115–120 錄音總結、作品命名、版本存檔</x:v>
      </x:c>
      <x:c r="I170" s="40" t="str">
        <x:v>父子分演規劃者、執行者、審查者完成資料整理任務</x:v>
      </x:c>
      <x:c r="J170" s="40" t="str">
        <x:v>Agent 角色扮演</x:v>
      </x:c>
      <x:c r="K170" s="40" t="str">
        <x:v>三角色工作紀錄</x:v>
      </x:c>
      <x:c r="L170" s="40" t="str">
        <x:v>合作與回饋</x:v>
      </x:c>
      <x:c r="M170" s="40" t="str">
        <x:v>使用測試帳號與假資料；API Key 不寫入 repo，所有寫入動作先 dry-run。</x:v>
      </x:c>
      <x:c r="N170" s="40" t="str">
        <x:v>15–30 分鐘自由改造；寫三句學習日誌：我做了什麼、哪裡卡住、下次想加什麼。</x:v>
      </x:c>
      <x:c r="O170" s="40" t="str">
        <x:v>完成「三角色工作紀錄」；能不用看稿說出核心原理；能指出至少一個錯誤、限制或安全注意事項。</x:v>
      </x:c>
      <x:c r="P170" s="40" t="str">
        <x:v>R20</x:v>
      </x:c>
      <x:c r="Q170" s="40" t="str">
        <x:v>https://academy.openai.com/</x:v>
      </x:c>
      <x:c r="R170" s="40" t="str">
        <x:v>請孩子回答：1. Planner／Executor／Reviewer在解決什麼？2. 我怎麼做？3. 哪裡容易錯？4. 生活中哪裡會用到？</x:v>
      </x:c>
      <x:c r="S170" s="40" t="str">
        <x:v>父子科技課 #169｜Planner／Executor／Reviewer</x:v>
      </x:c>
      <x:c r="T170" s="40" t="n">
        <x:v>5</x:v>
      </x:c>
      <x:c r="U170" s="38" t="str">
        <x:v>Planner Executor Reviewer AI agents automation prompt engineering beginner tutorial OpenAI</x:v>
      </x:c>
      <x:c r="V170" s="38" t="str">
        <x:v>https://www.youtube.com/results?search_query=Planner+Executor+Reviewer+AI+agents+automation+prompt+engineering+beginner+tutorial+OpenAI</x:v>
      </x:c>
      <x:c r="W170" s="38" t="str">
        <x:v>課前暖身</x:v>
      </x:c>
      <x:c r="X170" s="38" t="str">
        <x:v>Planner Executor Reviewer 用角色分工降低遺漏並增加檢查 hands on project for kids AI agents automation prompt engineering</x:v>
      </x:c>
      <x:c r="Y170" s="38" t="str">
        <x:v>https://www.youtube.com/results?search_query=Planner+Executor+Reviewer+%E7%94%A8%E8%A7%92%E8%89%B2%E5%88%86%E5%B7%A5%E9%99%8D%E4%BD%8E%E9%81%BA%E6%BC%8F%E4%B8%A6%E5%A2%9E%E5%8A%A0%E6%AA%A2%E6%9F%A5+hands+on+project+for+kids+AI+agents+automation+prompt+engineering</x:v>
      </x:c>
      <x:c r="Z170" s="38" t="str">
        <x:v>課中實作參考</x:v>
      </x:c>
      <x:c r="AA170" s="38" t="str">
        <x:v>Planner Executor Reviewer 中文 教學 原理 安全 親子 AI agents automation prompt engineering</x:v>
      </x:c>
      <x:c r="AB170" s="38" t="str">
        <x:v>https://www.youtube.com/results?search_query=Planner+Executor+Reviewer+%E4%B8%AD%E6%96%87+%E6%95%99%E5%AD%B8+%E5%8E%9F%E7%90%86+%E5%AE%89%E5%85%A8+%E8%A6%AA%E5%AD%90+AI+agents+automation+prompt+engineering</x:v>
      </x:c>
      <x:c r="AC170" s="38" t="str">
        <x:v>課後延伸／親子討論</x:v>
      </x:c>
    </x:row>
    <x:row r="171" ht="105" customHeight="1">
      <x:c r="A171" s="40" t="n">
        <x:v>170</x:v>
      </x:c>
      <x:c r="B171" s="40" t="str">
        <x:v>第 4 年</x:v>
      </x:c>
      <x:c r="C171" s="40" t="str">
        <x:v>M11 AI Agent 與自動化工程</x:v>
      </x:c>
      <x:c r="D171" s="40" t="n">
        <x:v>10</x:v>
      </x:c>
      <x:c r="E171" s="40" t="str">
        <x:v>Evals：Agent 做完不代表做對</x:v>
      </x:c>
      <x:c r="F171" s="40" t="str">
        <x:v>工作流／API／JSON／Agent／評估／Coding Agent</x:v>
      </x:c>
      <x:c r="G171" s="40" t="str">
        <x:v>定義準確率、完整性、來源、格式、成本與失敗案例</x:v>
      </x:c>
      <x:c r="H171" s="40" t="str">
        <x:v>00–10 任務開場：Evals：Agent 做完不代表做對
10–25 概念示範：定義準確率、完整性、來源、格式、成本與失敗案例
25–65 父子共同實作：建立 20 題基準集，跑一次並分類錯誤
65–75 休息／走動／聊天
75–105 孩子獨立改造：增加一個自選規則或功能
105–115 角色互換：孩子教爸爸操作與原理
115–120 錄音總結、作品命名、版本存檔</x:v>
      </x:c>
      <x:c r="I171" s="40" t="str">
        <x:v>建立 20 題基準集，跑一次並分類錯誤</x:v>
      </x:c>
      <x:c r="J171" s="40" t="str">
        <x:v>攻擊卡</x:v>
      </x:c>
      <x:c r="K171" s="40" t="str">
        <x:v>Agent Eval 表</x:v>
      </x:c>
      <x:c r="L171" s="40" t="str">
        <x:v>自動化責任</x:v>
      </x:c>
      <x:c r="M171" s="40" t="str">
        <x:v>使用測試帳號與假資料；API Key 不寫入 repo，所有寫入動作先 dry-run。</x:v>
      </x:c>
      <x:c r="N171" s="40" t="str">
        <x:v>15–30 分鐘自由改造；寫三句學習日誌：我做了什麼、哪裡卡住、下次想加什麼。</x:v>
      </x:c>
      <x:c r="O171" s="40" t="str">
        <x:v>完成「Agent Eval 表」；能不用看稿說出核心原理；能指出至少一個錯誤、限制或安全注意事項。</x:v>
      </x:c>
      <x:c r="P171" s="40" t="str">
        <x:v>R20</x:v>
      </x:c>
      <x:c r="Q171" s="40" t="str">
        <x:v>https://academy.openai.com/</x:v>
      </x:c>
      <x:c r="R171" s="40" t="str">
        <x:v>請孩子回答：1. Evals：Agent 做完不代表做對在解決什麼？2. 我怎麼做？3. 哪裡容易錯？4. 生活中哪裡會用到？</x:v>
      </x:c>
      <x:c r="S171" s="40" t="str">
        <x:v>父子科技課 #170｜Evals：Agent 做完不代表做對</x:v>
      </x:c>
      <x:c r="T171" s="40" t="n">
        <x:v>5</x:v>
      </x:c>
      <x:c r="U171" s="38" t="str">
        <x:v>Evals Agent 做完不代表做對 AI agents automation prompt engineering beginner tutorial OpenAI</x:v>
      </x:c>
      <x:c r="V171" s="38" t="str">
        <x:v>https://www.youtube.com/results?search_query=Evals+Agent+%E5%81%9A%E5%AE%8C%E4%B8%8D%E4%BB%A3%E8%A1%A8%E5%81%9A%E5%B0%8D+AI+agents+automation+prompt+engineering+beginner+tutorial+OpenAI</x:v>
      </x:c>
      <x:c r="W171" s="38" t="str">
        <x:v>課前暖身</x:v>
      </x:c>
      <x:c r="X171" s="38" t="str">
        <x:v>Evals Agent 做完不代表做對 定義準確率、完整性、來源、格式、成本與失敗案例 hands on project for kids AI agents automation prompt engineering</x:v>
      </x:c>
      <x:c r="Y171" s="38" t="str">
        <x:v>https://www.youtube.com/results?search_query=Evals+Agent+%E5%81%9A%E5%AE%8C%E4%B8%8D%E4%BB%A3%E8%A1%A8%E5%81%9A%E5%B0%8D+%E5%AE%9A%E7%BE%A9%E6%BA%96%E7%A2%BA%E7%8E%87%E3%80%81%E5%AE%8C%E6%95%B4%E6%80%A7%E3%80%81%E4%BE%86%E6%BA%90%E3%80%81%E6%A0%BC%E5%BC%8F%E3%80%81%E6%88%90%E6%9C%AC%E8%88%87%E5%A4%B1%E6%95%97%E6%A1%88%E4%BE%8B+hands+on+project+for+kids+AI+agents+automation+prompt+engineering</x:v>
      </x:c>
      <x:c r="Z171" s="38" t="str">
        <x:v>課中實作參考</x:v>
      </x:c>
      <x:c r="AA171" s="38" t="str">
        <x:v>Evals Agent 做完不代表做對 中文 教學 原理 安全 親子 AI agents automation prompt engineering</x:v>
      </x:c>
      <x:c r="AB171" s="38" t="str">
        <x:v>https://www.youtube.com/results?search_query=Evals+Agent+%E5%81%9A%E5%AE%8C%E4%B8%8D%E4%BB%A3%E8%A1%A8%E5%81%9A%E5%B0%8D+%E4%B8%AD%E6%96%87+%E6%95%99%E5%AD%B8+%E5%8E%9F%E7%90%86+%E5%AE%89%E5%85%A8+%E8%A6%AA%E5%AD%90+AI+agents+automation+prompt+engineering</x:v>
      </x:c>
      <x:c r="AC171" s="38" t="str">
        <x:v>課後延伸／親子討論</x:v>
      </x:c>
    </x:row>
    <x:row r="172" ht="105" customHeight="1">
      <x:c r="A172" s="40" t="n">
        <x:v>171</x:v>
      </x:c>
      <x:c r="B172" s="40" t="str">
        <x:v>第 4 年</x:v>
      </x:c>
      <x:c r="C172" s="40" t="str">
        <x:v>M11 AI Agent 與自動化工程</x:v>
      </x:c>
      <x:c r="D172" s="40" t="n">
        <x:v>11</x:v>
      </x:c>
      <x:c r="E172" s="40" t="str">
        <x:v>檔案自動化：整理錄音與專案</x:v>
      </x:c>
      <x:c r="F172" s="40" t="str">
        <x:v>工作流／API／JSON／Agent／評估／Coding Agent</x:v>
      </x:c>
      <x:c r="G172" s="40" t="str">
        <x:v>安全讀寫、命名、重複執行與 dry-run</x:v>
      </x:c>
      <x:c r="H172" s="40" t="str">
        <x:v>00–10 任務開場：檔案自動化：整理錄音與專案
10–25 概念示範：安全讀寫、命名、重複執行與 dry-run
25–65 父子共同實作：做一個先預覽再整理課程檔案的工具
65–75 休息／走動／聊天
75–105 孩子獨立改造：增加一個自選規則或功能
105–115 角色互換：孩子教爸爸操作與原理
115–120 錄音總結、作品命名、版本存檔</x:v>
      </x:c>
      <x:c r="I172" s="40" t="str">
        <x:v>做一個先預覽再整理課程檔案的工具</x:v>
      </x:c>
      <x:c r="J172" s="40" t="str">
        <x:v>基準測試</x:v>
      </x:c>
      <x:c r="K172" s="40" t="str">
        <x:v>File Organizer</x:v>
      </x:c>
      <x:c r="L172" s="40" t="str">
        <x:v>溝通表達</x:v>
      </x:c>
      <x:c r="M172" s="40" t="str">
        <x:v>使用測試帳號與假資料；API Key 不寫入 repo，所有寫入動作先 dry-run。</x:v>
      </x:c>
      <x:c r="N172" s="40" t="str">
        <x:v>15–30 分鐘自由改造；寫三句學習日誌：我做了什麼、哪裡卡住、下次想加什麼。</x:v>
      </x:c>
      <x:c r="O172" s="40" t="str">
        <x:v>完成「File Organizer」；能不用看稿說出核心原理；能指出至少一個錯誤、限制或安全注意事項。</x:v>
      </x:c>
      <x:c r="P172" s="40" t="str">
        <x:v>R16</x:v>
      </x:c>
      <x:c r="Q172" s="40" t="str">
        <x:v>https://docs.python.org/3/tutorial/index.html</x:v>
      </x:c>
      <x:c r="R172" s="40" t="str">
        <x:v>請孩子回答：1. 檔案自動化：整理錄音與專案在解決什麼？2. 我怎麼做？3. 哪裡容易錯？4. 生活中哪裡會用到？</x:v>
      </x:c>
      <x:c r="S172" s="40" t="str">
        <x:v>父子科技課 #171｜檔案自動化：整理錄音與專案</x:v>
      </x:c>
      <x:c r="T172" s="40" t="n">
        <x:v>5</x:v>
      </x:c>
      <x:c r="U172" s="38" t="str">
        <x:v>檔案自動化 整理錄音與專案 AI agents automation prompt engineering beginner tutorial OpenAI</x:v>
      </x:c>
      <x:c r="V172" s="38" t="str">
        <x:v>https://www.youtube.com/results?search_query=%E6%AA%94%E6%A1%88%E8%87%AA%E5%8B%95%E5%8C%96+%E6%95%B4%E7%90%86%E9%8C%84%E9%9F%B3%E8%88%87%E5%B0%88%E6%A1%88+AI+agents+automation+prompt+engineering+beginner+tutorial+OpenAI</x:v>
      </x:c>
      <x:c r="W172" s="38" t="str">
        <x:v>課前暖身</x:v>
      </x:c>
      <x:c r="X172" s="38" t="str">
        <x:v>檔案自動化 整理錄音與專案 安全讀寫、命名、重複執行與 dry run hands on project for kids AI agents automation prompt</x:v>
      </x:c>
      <x:c r="Y172" s="38" t="str">
        <x:v>https://www.youtube.com/results?search_query=%E6%AA%94%E6%A1%88%E8%87%AA%E5%8B%95%E5%8C%96+%E6%95%B4%E7%90%86%E9%8C%84%E9%9F%B3%E8%88%87%E5%B0%88%E6%A1%88+%E5%AE%89%E5%85%A8%E8%AE%80%E5%AF%AB%E3%80%81%E5%91%BD%E5%90%8D%E3%80%81%E9%87%8D%E8%A4%87%E5%9F%B7%E8%A1%8C%E8%88%87+dry+run+hands+on+project+for+kids+AI+agents+automation+prompt+engineering</x:v>
      </x:c>
      <x:c r="Z172" s="38" t="str">
        <x:v>課中實作參考</x:v>
      </x:c>
      <x:c r="AA172" s="38" t="str">
        <x:v>檔案自動化 整理錄音與專案 中文 教學 原理 安全 親子 AI agents automation prompt engineering</x:v>
      </x:c>
      <x:c r="AB172" s="38" t="str">
        <x:v>https://www.youtube.com/results?search_query=%E6%AA%94%E6%A1%88%E8%87%AA%E5%8B%95%E5%8C%96+%E6%95%B4%E7%90%86%E9%8C%84%E9%9F%B3%E8%88%87%E5%B0%88%E6%A1%88+%E4%B8%AD%E6%96%87+%E6%95%99%E5%AD%B8+%E5%8E%9F%E7%90%86+%E5%AE%89%E5%85%A8+%E8%A6%AA%E5%AD%90+AI+agents+automation+prompt+engineering</x:v>
      </x:c>
      <x:c r="AC172" s="38" t="str">
        <x:v>課後延伸／親子討論</x:v>
      </x:c>
    </x:row>
    <x:row r="173" ht="105" customHeight="1">
      <x:c r="A173" s="40" t="n">
        <x:v>172</x:v>
      </x:c>
      <x:c r="B173" s="40" t="str">
        <x:v>第 4 年</x:v>
      </x:c>
      <x:c r="C173" s="40" t="str">
        <x:v>M11 AI Agent 與自動化工程</x:v>
      </x:c>
      <x:c r="D173" s="40" t="n">
        <x:v>12</x:v>
      </x:c>
      <x:c r="E173" s="40" t="str">
        <x:v>有來源的研究 Agent</x:v>
      </x:c>
      <x:c r="F173" s="40" t="str">
        <x:v>工作流／API／JSON／Agent／評估／Coding Agent</x:v>
      </x:c>
      <x:c r="G173" s="40" t="str">
        <x:v>建立搜尋、閱讀、摘要、交叉驗證與引用流程</x:v>
      </x:c>
      <x:c r="H173" s="40" t="str">
        <x:v>00–10 任務開場：有來源的研究 Agent
10–25 概念示範：建立搜尋、閱讀、摘要、交叉驗證與引用流程
25–65 父子共同實作：研究一項新科技，要求至少三個可靠來源與矛盾點
65–75 休息／走動／聊天
75–105 孩子獨立改造：增加一個自選規則或功能
105–115 角色互換：孩子教爸爸操作與原理
115–120 錄音總結、作品命名、版本存檔</x:v>
      </x:c>
      <x:c r="I173" s="40" t="str">
        <x:v>研究一項新科技，要求至少三個可靠來源與矛盾點</x:v>
      </x:c>
      <x:c r="J173" s="40" t="str">
        <x:v>真實任務</x:v>
      </x:c>
      <x:c r="K173" s="40" t="str">
        <x:v>研究報告＋來源表</x:v>
      </x:c>
      <x:c r="L173" s="40" t="str">
        <x:v>資訊判讀</x:v>
      </x:c>
      <x:c r="M173" s="40" t="str">
        <x:v>使用測試帳號與假資料；API Key 不寫入 repo，所有寫入動作先 dry-run。</x:v>
      </x:c>
      <x:c r="N173" s="40" t="str">
        <x:v>15–30 分鐘自由改造；寫三句學習日誌：我做了什麼、哪裡卡住、下次想加什麼。</x:v>
      </x:c>
      <x:c r="O173" s="40" t="str">
        <x:v>完成「研究報告＋來源表」；能不用看稿說出核心原理；能指出至少一個錯誤、限制或安全注意事項。</x:v>
      </x:c>
      <x:c r="P173" s="40" t="str">
        <x:v>R20</x:v>
      </x:c>
      <x:c r="Q173" s="40" t="str">
        <x:v>https://academy.openai.com/</x:v>
      </x:c>
      <x:c r="R173" s="40" t="str">
        <x:v>請孩子回答：1. 有來源的研究 Agent在解決什麼？2. 我怎麼做？3. 哪裡容易錯？4. 生活中哪裡會用到？</x:v>
      </x:c>
      <x:c r="S173" s="40" t="str">
        <x:v>父子科技課 #172｜有來源的研究 Agent</x:v>
      </x:c>
      <x:c r="T173" s="40" t="n">
        <x:v>5</x:v>
      </x:c>
      <x:c r="U173" s="38" t="str">
        <x:v>有來源的研究 Agent AI agents automation prompt engineering beginner tutorial OpenAI</x:v>
      </x:c>
      <x:c r="V173" s="38" t="str">
        <x:v>https://www.youtube.com/results?search_query=%E6%9C%89%E4%BE%86%E6%BA%90%E7%9A%84%E7%A0%94%E7%A9%B6+Agent+AI+agents+automation+prompt+engineering+beginner+tutorial+OpenAI</x:v>
      </x:c>
      <x:c r="W173" s="38" t="str">
        <x:v>課前暖身</x:v>
      </x:c>
      <x:c r="X173" s="38" t="str">
        <x:v>有來源的研究 Agent 建立搜尋、閱讀、摘要、交叉驗證與引用流程 hands on project for kids AI agents automation prompt engineering</x:v>
      </x:c>
      <x:c r="Y173" s="38" t="str">
        <x:v>https://www.youtube.com/results?search_query=%E6%9C%89%E4%BE%86%E6%BA%90%E7%9A%84%E7%A0%94%E7%A9%B6+Agent+%E5%BB%BA%E7%AB%8B%E6%90%9C%E5%B0%8B%E3%80%81%E9%96%B1%E8%AE%80%E3%80%81%E6%91%98%E8%A6%81%E3%80%81%E4%BA%A4%E5%8F%89%E9%A9%97%E8%AD%89%E8%88%87%E5%BC%95%E7%94%A8%E6%B5%81%E7%A8%8B+hands+on+project+for+kids+AI+agents+automation+prompt+engineering</x:v>
      </x:c>
      <x:c r="Z173" s="38" t="str">
        <x:v>課中實作參考</x:v>
      </x:c>
      <x:c r="AA173" s="38" t="str">
        <x:v>有來源的研究 Agent 中文 教學 原理 安全 親子 AI agents automation prompt engineering</x:v>
      </x:c>
      <x:c r="AB173" s="38" t="str">
        <x:v>https://www.youtube.com/results?search_query=%E6%9C%89%E4%BE%86%E6%BA%90%E7%9A%84%E7%A0%94%E7%A9%B6+Agent+%E4%B8%AD%E6%96%87+%E6%95%99%E5%AD%B8+%E5%8E%9F%E7%90%86+%E5%AE%89%E5%85%A8+%E8%A6%AA%E5%AD%90+AI+agents+automation+prompt+engineering</x:v>
      </x:c>
      <x:c r="AC173" s="38" t="str">
        <x:v>課後延伸／親子討論</x:v>
      </x:c>
    </x:row>
    <x:row r="174" ht="105" customHeight="1">
      <x:c r="A174" s="40" t="n">
        <x:v>173</x:v>
      </x:c>
      <x:c r="B174" s="40" t="str">
        <x:v>第 4 年</x:v>
      </x:c>
      <x:c r="C174" s="40" t="str">
        <x:v>M11 AI Agent 與自動化工程</x:v>
      </x:c>
      <x:c r="D174" s="40" t="n">
        <x:v>13</x:v>
      </x:c>
      <x:c r="E174" s="40" t="str">
        <x:v>Coding Agent 的 Repo 規則</x:v>
      </x:c>
      <x:c r="F174" s="40" t="str">
        <x:v>工作流／API／JSON／Agent／評估／Coding Agent</x:v>
      </x:c>
      <x:c r="G174" s="40" t="str">
        <x:v>使用 README/AGENTS/測試/驗收標準限制代理行為</x:v>
      </x:c>
      <x:c r="H174" s="40" t="str">
        <x:v>00–10 任務開場：Coding Agent 的 Repo 規則
10–25 概念示範：使用 README/AGENTS/測試/驗收標準限制代理行為
25–65 父子共同實作：建立一個空 repo，加入任務規範與自動測試
65–75 休息／走動／聊天
75–105 孩子獨立改造：增加一個自選規則或功能
105–115 角色互換：孩子教爸爸操作與原理
115–120 錄音總結、作品命名、版本存檔</x:v>
      </x:c>
      <x:c r="I174" s="40" t="str">
        <x:v>建立一個空 repo，加入任務規範與自動測試</x:v>
      </x:c>
      <x:c r="J174" s="40" t="str">
        <x:v>Agent 角色扮演</x:v>
      </x:c>
      <x:c r="K174" s="40" t="str">
        <x:v>Agent-ready repo</x:v>
      </x:c>
      <x:c r="L174" s="40" t="str">
        <x:v>問題拆解</x:v>
      </x:c>
      <x:c r="M174" s="40" t="str">
        <x:v>使用測試帳號與假資料；API Key 不寫入 repo，所有寫入動作先 dry-run。</x:v>
      </x:c>
      <x:c r="N174" s="40" t="str">
        <x:v>15–30 分鐘自由改造；寫三句學習日誌：我做了什麼、哪裡卡住、下次想加什麼。</x:v>
      </x:c>
      <x:c r="O174" s="40" t="str">
        <x:v>完成「Agent-ready repo」；能不用看稿說出核心原理；能指出至少一個錯誤、限制或安全注意事項。</x:v>
      </x:c>
      <x:c r="P174" s="40" t="str">
        <x:v>R14</x:v>
      </x:c>
      <x:c r="Q174" s="40" t="str">
        <x:v>https://skills.github.com/</x:v>
      </x:c>
      <x:c r="R174" s="40" t="str">
        <x:v>請孩子回答：1. Coding Agent 的 Repo 規則在解決什麼？2. 我怎麼做？3. 哪裡容易錯？4. 生活中哪裡會用到？</x:v>
      </x:c>
      <x:c r="S174" s="40" t="str">
        <x:v>父子科技課 #173｜Coding Agent 的 Repo 規則</x:v>
      </x:c>
      <x:c r="T174" s="40" t="n">
        <x:v>5</x:v>
      </x:c>
      <x:c r="U174" s="38" t="str">
        <x:v>Coding Agent 的 Repo 規則 AI agents automation prompt engineering beginner tutorial OpenAI</x:v>
      </x:c>
      <x:c r="V174" s="38" t="str">
        <x:v>https://www.youtube.com/results?search_query=Coding+Agent+%E7%9A%84+Repo+%E8%A6%8F%E5%89%87+AI+agents+automation+prompt+engineering+beginner+tutorial+OpenAI</x:v>
      </x:c>
      <x:c r="W174" s="38" t="str">
        <x:v>課前暖身</x:v>
      </x:c>
      <x:c r="X174" s="38" t="str">
        <x:v>Coding Agent 的 Repo 規則 使用 README/AGENTS/測試/驗收標準限制代理行為 hands on project for kids AI agents</x:v>
      </x:c>
      <x:c r="Y174" s="38" t="str">
        <x:v>https://www.youtube.com/results?search_query=Coding+Agent+%E7%9A%84+Repo+%E8%A6%8F%E5%89%87+%E4%BD%BF%E7%94%A8+README%2FAGENTS%2F%E6%B8%AC%E8%A9%A6%2F%E9%A9%97%E6%94%B6%E6%A8%99%E6%BA%96%E9%99%90%E5%88%B6%E4%BB%A3%E7%90%86%E8%A1%8C%E7%82%BA+hands+on+project+for+kids+AI+agents+automation+prompt+engineering</x:v>
      </x:c>
      <x:c r="Z174" s="38" t="str">
        <x:v>課中實作參考</x:v>
      </x:c>
      <x:c r="AA174" s="38" t="str">
        <x:v>Coding Agent 的 Repo 規則 中文 教學 原理 安全 親子 AI agents automation prompt</x:v>
      </x:c>
      <x:c r="AB174" s="38" t="str">
        <x:v>https://www.youtube.com/results?search_query=Coding+Agent+%E7%9A%84+Repo+%E8%A6%8F%E5%89%87+%E4%B8%AD%E6%96%87+%E6%95%99%E5%AD%B8+%E5%8E%9F%E7%90%86+%E5%AE%89%E5%85%A8+%E8%A6%AA%E5%AD%90+AI+agents+automation+prompt+engineering</x:v>
      </x:c>
      <x:c r="AC174" s="38" t="str">
        <x:v>課後延伸／親子討論</x:v>
      </x:c>
    </x:row>
    <x:row r="175" ht="105" customHeight="1">
      <x:c r="A175" s="40" t="n">
        <x:v>174</x:v>
      </x:c>
      <x:c r="B175" s="40" t="str">
        <x:v>第 4 年</x:v>
      </x:c>
      <x:c r="C175" s="40" t="str">
        <x:v>M11 AI Agent 與自動化工程</x:v>
      </x:c>
      <x:c r="D175" s="40" t="n">
        <x:v>14</x:v>
      </x:c>
      <x:c r="E175" s="40" t="str">
        <x:v>個人學習 Agent Alpha</x:v>
      </x:c>
      <x:c r="F175" s="40" t="str">
        <x:v>工作流／API／JSON／Agent／評估／Coding Agent</x:v>
      </x:c>
      <x:c r="G175" s="40" t="str">
        <x:v>整合資料來源、工具、Prompt、記憶與輸出</x:v>
      </x:c>
      <x:c r="H175" s="40" t="str">
        <x:v>00–10 任務開場：個人學習 Agent Alpha
10–25 概念示範：整合資料來源、工具、Prompt、記憶與輸出
25–65 父子共同實作：建立能整理本週課程、產生測驗與下一步的 Agent
65–75 休息／走動／聊天
75–105 孩子獨立改造：增加一個自選規則或功能
105–115 角色互換：孩子教爸爸操作與原理
115–120 錄音總結、作品命名、版本存檔</x:v>
      </x:c>
      <x:c r="I175" s="40" t="str">
        <x:v>建立能整理本週課程、產生測驗與下一步的 Agent</x:v>
      </x:c>
      <x:c r="J175" s="40" t="str">
        <x:v>攻擊卡</x:v>
      </x:c>
      <x:c r="K175" s="40" t="str">
        <x:v>Learning Agent Alpha</x:v>
      </x:c>
      <x:c r="L175" s="40" t="str">
        <x:v>自動化責任</x:v>
      </x:c>
      <x:c r="M175" s="40" t="str">
        <x:v>使用測試帳號與假資料；API Key 不寫入 repo，所有寫入動作先 dry-run。</x:v>
      </x:c>
      <x:c r="N175" s="40" t="str">
        <x:v>15–30 分鐘自由改造；寫三句學習日誌：我做了什麼、哪裡卡住、下次想加什麼。</x:v>
      </x:c>
      <x:c r="O175" s="40" t="str">
        <x:v>完成「Learning Agent Alpha」；能不用看稿說出核心原理；能指出至少一個錯誤、限制或安全注意事項。</x:v>
      </x:c>
      <x:c r="P175" s="40" t="str">
        <x:v>R20</x:v>
      </x:c>
      <x:c r="Q175" s="40" t="str">
        <x:v>https://academy.openai.com/</x:v>
      </x:c>
      <x:c r="R175" s="40" t="str">
        <x:v>請孩子回答：1. 個人學習 Agent Alpha在解決什麼？2. 我怎麼做？3. 哪裡容易錯？4. 生活中哪裡會用到？</x:v>
      </x:c>
      <x:c r="S175" s="40" t="str">
        <x:v>父子科技課 #174｜個人學習 Agent Alpha</x:v>
      </x:c>
      <x:c r="T175" s="40" t="n">
        <x:v>5</x:v>
      </x:c>
      <x:c r="U175" s="38" t="str">
        <x:v>個人學習 Agent Alpha AI agents automation prompt engineering beginner tutorial OpenAI</x:v>
      </x:c>
      <x:c r="V175" s="38" t="str">
        <x:v>https://www.youtube.com/results?search_query=%E5%80%8B%E4%BA%BA%E5%AD%B8%E7%BF%92+Agent+Alpha+AI+agents+automation+prompt+engineering+beginner+tutorial+OpenAI</x:v>
      </x:c>
      <x:c r="W175" s="38" t="str">
        <x:v>課前暖身</x:v>
      </x:c>
      <x:c r="X175" s="38" t="str">
        <x:v>個人學習 Agent Alpha 整合資料來源、工具、Prompt、記憶與輸出 hands on project for kids AI agents automation prompt engineering</x:v>
      </x:c>
      <x:c r="Y175" s="38" t="str">
        <x:v>https://www.youtube.com/results?search_query=%E5%80%8B%E4%BA%BA%E5%AD%B8%E7%BF%92+Agent+Alpha+%E6%95%B4%E5%90%88%E8%B3%87%E6%96%99%E4%BE%86%E6%BA%90%E3%80%81%E5%B7%A5%E5%85%B7%E3%80%81Prompt%E3%80%81%E8%A8%98%E6%86%B6%E8%88%87%E8%BC%B8%E5%87%BA+hands+on+project+for+kids+AI+agents+automation+prompt+engineering</x:v>
      </x:c>
      <x:c r="Z175" s="38" t="str">
        <x:v>課中實作參考</x:v>
      </x:c>
      <x:c r="AA175" s="38" t="str">
        <x:v>個人學習 Agent Alpha 中文 教學 原理 安全 親子 AI agents automation prompt engineering</x:v>
      </x:c>
      <x:c r="AB175" s="38" t="str">
        <x:v>https://www.youtube.com/results?search_query=%E5%80%8B%E4%BA%BA%E5%AD%B8%E7%BF%92+Agent+Alpha+%E4%B8%AD%E6%96%87+%E6%95%99%E5%AD%B8+%E5%8E%9F%E7%90%86+%E5%AE%89%E5%85%A8+%E8%A6%AA%E5%AD%90+AI+agents+automation+prompt+engineering</x:v>
      </x:c>
      <x:c r="AC175" s="38" t="str">
        <x:v>課後延伸／親子討論</x:v>
      </x:c>
    </x:row>
    <x:row r="176" ht="105" customHeight="1">
      <x:c r="A176" s="40" t="n">
        <x:v>175</x:v>
      </x:c>
      <x:c r="B176" s="40" t="str">
        <x:v>第 4 年</x:v>
      </x:c>
      <x:c r="C176" s="40" t="str">
        <x:v>M11 AI Agent 與自動化工程</x:v>
      </x:c>
      <x:c r="D176" s="40" t="n">
        <x:v>15</x:v>
      </x:c>
      <x:c r="E176" s="40" t="str">
        <x:v>Red Team：讓 Agent 失敗給你看</x:v>
      </x:c>
      <x:c r="F176" s="40" t="str">
        <x:v>工作流／API／JSON／Agent／評估／Coding Agent</x:v>
      </x:c>
      <x:c r="G176" s="40" t="str">
        <x:v>測試提示注入、錯誤來源、重複執行、權限與幻覺</x:v>
      </x:c>
      <x:c r="H176" s="40" t="str">
        <x:v>00–10 任務開場：Red Team：讓 Agent 失敗給你看
10–25 概念示範：測試提示注入、錯誤來源、重複執行、權限與幻覺
25–65 父子共同實作：爸爸出 10 張攻擊卡，孩子記錄防護與殘餘風險
65–75 休息／走動／聊天
75–105 孩子獨立改造：增加一個自選規則或功能
105–115 角色互換：孩子教爸爸操作與原理
115–120 錄音總結、作品命名、版本存檔</x:v>
      </x:c>
      <x:c r="I176" s="40" t="str">
        <x:v>爸爸出 10 張攻擊卡，孩子記錄防護與殘餘風險</x:v>
      </x:c>
      <x:c r="J176" s="40" t="str">
        <x:v>基準測試</x:v>
      </x:c>
      <x:c r="K176" s="40" t="str">
        <x:v>Red Team 報告</x:v>
      </x:c>
      <x:c r="L176" s="40" t="str">
        <x:v>自動化責任</x:v>
      </x:c>
      <x:c r="M176" s="40" t="str">
        <x:v>使用測試帳號與假資料；API Key 不寫入 repo，所有寫入動作先 dry-run。</x:v>
      </x:c>
      <x:c r="N176" s="40" t="str">
        <x:v>15–30 分鐘自由改造；寫三句學習日誌：我做了什麼、哪裡卡住、下次想加什麼。</x:v>
      </x:c>
      <x:c r="O176" s="40" t="str">
        <x:v>完成「Red Team 報告」；能不用看稿說出核心原理；能指出至少一個錯誤、限制或安全注意事項。</x:v>
      </x:c>
      <x:c r="P176" s="40" t="str">
        <x:v>R20</x:v>
      </x:c>
      <x:c r="Q176" s="40" t="str">
        <x:v>https://academy.openai.com/</x:v>
      </x:c>
      <x:c r="R176" s="40" t="str">
        <x:v>請孩子回答：1. Red Team：讓 Agent 失敗給你看在解決什麼？2. 我怎麼做？3. 哪裡容易錯？4. 生活中哪裡會用到？</x:v>
      </x:c>
      <x:c r="S176" s="40" t="str">
        <x:v>父子科技課 #175｜Red Team：讓 Agent 失敗給你看</x:v>
      </x:c>
      <x:c r="T176" s="40" t="n">
        <x:v>5</x:v>
      </x:c>
      <x:c r="U176" s="38" t="str">
        <x:v>Red Team 讓 Agent 失敗給你看 AI agents automation prompt engineering beginner tutorial OpenAI</x:v>
      </x:c>
      <x:c r="V176" s="38" t="str">
        <x:v>https://www.youtube.com/results?search_query=Red+Team+%E8%AE%93+Agent+%E5%A4%B1%E6%95%97%E7%B5%A6%E4%BD%A0%E7%9C%8B+AI+agents+automation+prompt+engineering+beginner+tutorial+OpenAI</x:v>
      </x:c>
      <x:c r="W176" s="38" t="str">
        <x:v>課前暖身</x:v>
      </x:c>
      <x:c r="X176" s="38" t="str">
        <x:v>Red Team 讓 Agent 失敗給你看 測試提示注入、錯誤來源、重複執行、權限與幻覺 hands on project for kids AI agents automation</x:v>
      </x:c>
      <x:c r="Y176" s="38" t="str">
        <x:v>https://www.youtube.com/results?search_query=Red+Team+%E8%AE%93+Agent+%E5%A4%B1%E6%95%97%E7%B5%A6%E4%BD%A0%E7%9C%8B+%E6%B8%AC%E8%A9%A6%E6%8F%90%E7%A4%BA%E6%B3%A8%E5%85%A5%E3%80%81%E9%8C%AF%E8%AA%A4%E4%BE%86%E6%BA%90%E3%80%81%E9%87%8D%E8%A4%87%E5%9F%B7%E8%A1%8C%E3%80%81%E6%AC%8A%E9%99%90%E8%88%87%E5%B9%BB%E8%A6%BA+hands+on+project+for+kids+AI+agents+automation+prompt+engineering</x:v>
      </x:c>
      <x:c r="Z176" s="38" t="str">
        <x:v>課中實作參考</x:v>
      </x:c>
      <x:c r="AA176" s="38" t="str">
        <x:v>Red Team 讓 Agent 失敗給你看 中文 教學 原理 安全 親子 AI agents automation prompt</x:v>
      </x:c>
      <x:c r="AB176" s="38" t="str">
        <x:v>https://www.youtube.com/results?search_query=Red+Team+%E8%AE%93+Agent+%E5%A4%B1%E6%95%97%E7%B5%A6%E4%BD%A0%E7%9C%8B+%E4%B8%AD%E6%96%87+%E6%95%99%E5%AD%B8+%E5%8E%9F%E7%90%86+%E5%AE%89%E5%85%A8+%E8%A6%AA%E5%AD%90+AI+agents+automation+prompt+engineering</x:v>
      </x:c>
      <x:c r="AC176" s="38" t="str">
        <x:v>課後延伸／親子討論</x:v>
      </x:c>
    </x:row>
    <x:row r="177" ht="105" customHeight="1">
      <x:c r="A177" s="40" t="n">
        <x:v>176</x:v>
      </x:c>
      <x:c r="B177" s="40" t="str">
        <x:v>第 4 年</x:v>
      </x:c>
      <x:c r="C177" s="40" t="str">
        <x:v>M11 AI Agent 與自動化工程</x:v>
      </x:c>
      <x:c r="D177" s="40" t="n">
        <x:v>16</x:v>
      </x:c>
      <x:c r="E177" s="40" t="str">
        <x:v>Agent Demo Day 與運維手冊</x:v>
      </x:c>
      <x:c r="F177" s="40" t="str">
        <x:v>工作流／API／JSON／Agent／評估／Coding Agent</x:v>
      </x:c>
      <x:c r="G177" s="40" t="str">
        <x:v>說明架構、能力、限制、成本、監控與停用方式</x:v>
      </x:c>
      <x:c r="H177" s="40" t="str">
        <x:v>00–10 任務開場：Agent Demo Day 與運維手冊
10–25 概念示範：說明架構、能力、限制、成本、監控與停用方式
25–65 父子共同實作：連續跑三次真實任務，展示成功與失敗日誌
65–75 休息／走動／聊天
75–105 孩子獨立改造：增加一個自選規則或功能
105–115 角色互換：孩子教爸爸操作與原理
115–120 錄音總結、作品命名、版本存檔</x:v>
      </x:c>
      <x:c r="I177" s="40" t="str">
        <x:v>連續跑三次真實任務，展示成功與失敗日誌</x:v>
      </x:c>
      <x:c r="J177" s="40" t="str">
        <x:v>真實任務</x:v>
      </x:c>
      <x:c r="K177" s="40" t="str">
        <x:v>Agent v1.0＋Runbook</x:v>
      </x:c>
      <x:c r="L177" s="40" t="str">
        <x:v>合作與回饋</x:v>
      </x:c>
      <x:c r="M177" s="40" t="str">
        <x:v>使用測試帳號與假資料；API Key 不寫入 repo，所有寫入動作先 dry-run。</x:v>
      </x:c>
      <x:c r="N177" s="40" t="str">
        <x:v>15–30 分鐘自由改造；寫三句學習日誌：我做了什麼、哪裡卡住、下次想加什麼。</x:v>
      </x:c>
      <x:c r="O177" s="40" t="str">
        <x:v>完成「Agent v1.0＋Runbook」；能不用看稿說出核心原理；能指出至少一個錯誤、限制或安全注意事項。</x:v>
      </x:c>
      <x:c r="P177" s="40" t="str">
        <x:v>R20</x:v>
      </x:c>
      <x:c r="Q177" s="40" t="str">
        <x:v>https://academy.openai.com/</x:v>
      </x:c>
      <x:c r="R177" s="40" t="str">
        <x:v>請孩子回答：1. Agent Demo Day 與運維手冊在解決什麼？2. 我怎麼做？3. 哪裡容易錯？4. 生活中哪裡會用到？</x:v>
      </x:c>
      <x:c r="S177" s="40" t="str">
        <x:v>父子科技課 #176｜Agent Demo Day 與運維手冊</x:v>
      </x:c>
      <x:c r="T177" s="40" t="n">
        <x:v>5</x:v>
      </x:c>
      <x:c r="U177" s="38" t="str">
        <x:v>Agent Demo Day 與運維手冊 AI agents automation prompt engineering beginner tutorial OpenAI</x:v>
      </x:c>
      <x:c r="V177" s="38" t="str">
        <x:v>https://www.youtube.com/results?search_query=Agent+Demo+Day+%E8%88%87%E9%81%8B%E7%B6%AD%E6%89%8B%E5%86%8A+AI+agents+automation+prompt+engineering+beginner+tutorial+OpenAI</x:v>
      </x:c>
      <x:c r="W177" s="38" t="str">
        <x:v>課前暖身</x:v>
      </x:c>
      <x:c r="X177" s="38" t="str">
        <x:v>Agent Demo Day 與運維手冊 說明架構、能力、限制、成本、監控與停用方式 hands on project for kids AI agents automation prompt</x:v>
      </x:c>
      <x:c r="Y177" s="38" t="str">
        <x:v>https://www.youtube.com/results?search_query=Agent+Demo+Day+%E8%88%87%E9%81%8B%E7%B6%AD%E6%89%8B%E5%86%8A+%E8%AA%AA%E6%98%8E%E6%9E%B6%E6%A7%8B%E3%80%81%E8%83%BD%E5%8A%9B%E3%80%81%E9%99%90%E5%88%B6%E3%80%81%E6%88%90%E6%9C%AC%E3%80%81%E7%9B%A3%E6%8E%A7%E8%88%87%E5%81%9C%E7%94%A8%E6%96%B9%E5%BC%8F+hands+on+project+for+kids+AI+agents+automation+prompt+engineering</x:v>
      </x:c>
      <x:c r="Z177" s="38" t="str">
        <x:v>課中實作參考</x:v>
      </x:c>
      <x:c r="AA177" s="38" t="str">
        <x:v>Agent Demo Day 與運維手冊 中文 教學 原理 安全 親子 AI agents automation prompt engineering</x:v>
      </x:c>
      <x:c r="AB177" s="38" t="str">
        <x:v>https://www.youtube.com/results?search_query=Agent+Demo+Day+%E8%88%87%E9%81%8B%E7%B6%AD%E6%89%8B%E5%86%8A+%E4%B8%AD%E6%96%87+%E6%95%99%E5%AD%B8+%E5%8E%9F%E7%90%86+%E5%AE%89%E5%85%A8+%E8%A6%AA%E5%AD%90+AI+agents+automation+prompt+engineering</x:v>
      </x:c>
      <x:c r="AC177" s="38" t="str">
        <x:v>課後延伸／親子討論</x:v>
      </x:c>
    </x:row>
    <x:row r="178" ht="105" customHeight="1">
      <x:c r="A178" s="40" t="n">
        <x:v>177</x:v>
      </x:c>
      <x:c r="B178" s="40" t="str">
        <x:v>第 4 年</x:v>
      </x:c>
      <x:c r="C178" s="40" t="str">
        <x:v>M12 獨立創作者：產品、研究、生活與傳承</x:v>
      </x:c>
      <x:c r="D178" s="40" t="n">
        <x:v>1</x:v>
      </x:c>
      <x:c r="E178" s="40" t="str">
        <x:v>問題獵人：先找痛點，不急著想 App</x:v>
      </x:c>
      <x:c r="F178" s="40" t="str">
        <x:v>產品思維／溝通／財務／安全／研究／畢業專題</x:v>
      </x:c>
      <x:c r="G178" s="40" t="str">
        <x:v>觀察頻率、痛苦程度、現有解法與真正使用者</x:v>
      </x:c>
      <x:c r="H178" s="40" t="str">
        <x:v>00–10 任務開場：問題獵人：先找痛點，不急著想 App
10–25 概念示範：觀察頻率、痛苦程度、現有解法與真正使用者
25–65 父子共同實作：在家中記錄 10 個不方便，選出最值得解決的 3 個
65–75 休息／走動／聊天
75–105 孩子獨立改造：增加一個自選規則或功能
105–115 角色互換：孩子教爸爸操作與原理
115–120 錄音總結、作品命名、版本存檔</x:v>
      </x:c>
      <x:c r="I178" s="40" t="str">
        <x:v>在家中記錄 10 個不方便，選出最值得解決的 3 個</x:v>
      </x:c>
      <x:c r="J178" s="40" t="str">
        <x:v>產品評審</x:v>
      </x:c>
      <x:c r="K178" s="40" t="str">
        <x:v>問題清單＋證據</x:v>
      </x:c>
      <x:c r="L178" s="40" t="str">
        <x:v>獨立生活</x:v>
      </x:c>
      <x:c r="M178" s="40" t="str">
        <x:v>依課題準備材料；涉及急救、用電、工具或公開發布時由家長全程陪同。</x:v>
      </x:c>
      <x:c r="N178" s="40" t="str">
        <x:v>15–30 分鐘自由改造；寫三句學習日誌：我做了什麼、哪裡卡住、下次想加什麼。</x:v>
      </x:c>
      <x:c r="O178" s="40" t="str">
        <x:v>完成「問題清單＋證據」；能不用看稿說出核心原理；能指出至少一個錯誤、限制或安全注意事項。</x:v>
      </x:c>
      <x:c r="P178" s="40" t="str">
        <x:v>R27</x:v>
      </x:c>
      <x:c r="Q178" s="40" t="str">
        <x:v>https://www.khanacademy.org/</x:v>
      </x:c>
      <x:c r="R178" s="40" t="str">
        <x:v>請孩子回答：1. 問題獵人：先找痛點，不急著想 App在解決什麼？2. 我怎麼做？3. 哪裡容易錯？4. 生活中哪裡會用到？</x:v>
      </x:c>
      <x:c r="S178" s="40" t="str">
        <x:v>父子科技課 #177｜問題獵人：先找痛點，不急著想 App</x:v>
      </x:c>
      <x:c r="T178" s="40" t="n">
        <x:v>4</x:v>
      </x:c>
      <x:c r="U178" s="38" t="str">
        <x:v>問題獵人 先找痛點，不急著想 App product design research presentation life skills beginner tutorial TED-Ed</x:v>
      </x:c>
      <x:c r="V178" s="38" t="str">
        <x:v>https://www.youtube.com/results?search_query=%E5%95%8F%E9%A1%8C%E7%8D%B5%E4%BA%BA+%E5%85%88%E6%89%BE%E7%97%9B%E9%BB%9E%EF%BC%8C%E4%B8%8D%E6%80%A5%E8%91%97%E6%83%B3+App+product+design+research+presentation+life+skills+beginner+tutorial+TED-Ed</x:v>
      </x:c>
      <x:c r="W178" s="38" t="str">
        <x:v>課前暖身</x:v>
      </x:c>
      <x:c r="X178" s="38" t="str">
        <x:v>問題獵人 先找痛點，不急著想 App 觀察頻率、痛苦程度、現有解法與真正使用者 hands on project for kids product design research presentation life</x:v>
      </x:c>
      <x:c r="Y178" s="38" t="str">
        <x:v>https://www.youtube.com/results?search_query=%E5%95%8F%E9%A1%8C%E7%8D%B5%E4%BA%BA+%E5%85%88%E6%89%BE%E7%97%9B%E9%BB%9E%EF%BC%8C%E4%B8%8D%E6%80%A5%E8%91%97%E6%83%B3+App+%E8%A7%80%E5%AF%9F%E9%A0%BB%E7%8E%87%E3%80%81%E7%97%9B%E8%8B%A6%E7%A8%8B%E5%BA%A6%E3%80%81%E7%8F%BE%E6%9C%89%E8%A7%A3%E6%B3%95%E8%88%87%E7%9C%9F%E6%AD%A3%E4%BD%BF%E7%94%A8%E8%80%85+hands+on+project+for+kids+product+design+research+presentation+life+skills</x:v>
      </x:c>
      <x:c r="Z178" s="38" t="str">
        <x:v>課中實作參考</x:v>
      </x:c>
      <x:c r="AA178" s="38" t="str">
        <x:v>問題獵人 先找痛點，不急著想 App 中文 教學 原理 安全 親子 product design research presentation life skills</x:v>
      </x:c>
      <x:c r="AB178" s="38" t="str">
        <x:v>https://www.youtube.com/results?search_query=%E5%95%8F%E9%A1%8C%E7%8D%B5%E4%BA%BA+%E5%85%88%E6%89%BE%E7%97%9B%E9%BB%9E%EF%BC%8C%E4%B8%8D%E6%80%A5%E8%91%97%E6%83%B3+App+%E4%B8%AD%E6%96%87+%E6%95%99%E5%AD%B8+%E5%8E%9F%E7%90%86+%E5%AE%89%E5%85%A8+%E8%A6%AA%E5%AD%90+product+design+research+presentation+life+skills</x:v>
      </x:c>
      <x:c r="AC178" s="38" t="str">
        <x:v>課後延伸／親子討論</x:v>
      </x:c>
    </x:row>
    <x:row r="179" ht="105" customHeight="1">
      <x:c r="A179" s="40" t="n">
        <x:v>178</x:v>
      </x:c>
      <x:c r="B179" s="40" t="str">
        <x:v>第 4 年</x:v>
      </x:c>
      <x:c r="C179" s="40" t="str">
        <x:v>M12 獨立創作者：產品、研究、生活與傳承</x:v>
      </x:c>
      <x:c r="D179" s="40" t="n">
        <x:v>2</x:v>
      </x:c>
      <x:c r="E179" s="40" t="str">
        <x:v>使用者訪談：問經驗，不問幻想</x:v>
      </x:c>
      <x:c r="F179" s="40" t="str">
        <x:v>產品思維／溝通／財務／安全／研究／畢業專題</x:v>
      </x:c>
      <x:c r="G179" s="40" t="str">
        <x:v>練習開放問題、追問、記錄與不引導答案</x:v>
      </x:c>
      <x:c r="H179" s="40" t="str">
        <x:v>00–10 任務開場：使用者訪談：問經驗，不問幻想
10–25 概念示範：練習開放問題、追問、記錄與不引導答案
25–65 父子共同實作：訪談 2 位家人，整理原話、行為與矛盾
65–75 休息／走動／聊天
75–105 孩子獨立改造：增加一個自選規則或功能
105–115 角色互換：孩子教爸爸操作與原理
115–120 錄音總結、作品命名、版本存檔</x:v>
      </x:c>
      <x:c r="I179" s="40" t="str">
        <x:v>訪談 2 位家人，整理原話、行為與矛盾</x:v>
      </x:c>
      <x:c r="J179" s="40" t="str">
        <x:v>角色交換</x:v>
      </x:c>
      <x:c r="K179" s="40" t="str">
        <x:v>訪談紀錄</x:v>
      </x:c>
      <x:c r="L179" s="40" t="str">
        <x:v>溝通表達</x:v>
      </x:c>
      <x:c r="M179" s="40" t="str">
        <x:v>依課題準備材料；涉及急救、用電、工具或公開發布時由家長全程陪同。</x:v>
      </x:c>
      <x:c r="N179" s="40" t="str">
        <x:v>15–30 分鐘自由改造；寫三句學習日誌：我做了什麼、哪裡卡住、下次想加什麼。</x:v>
      </x:c>
      <x:c r="O179" s="40" t="str">
        <x:v>完成「訪談紀錄」；能不用看稿說出核心原理；能指出至少一個錯誤、限制或安全注意事項。</x:v>
      </x:c>
      <x:c r="P179" s="40" t="str">
        <x:v>R27</x:v>
      </x:c>
      <x:c r="Q179" s="40" t="str">
        <x:v>https://www.khanacademy.org/</x:v>
      </x:c>
      <x:c r="R179" s="40" t="str">
        <x:v>請孩子回答：1. 使用者訪談：問經驗，不問幻想在解決什麼？2. 我怎麼做？3. 哪裡容易錯？4. 生活中哪裡會用到？</x:v>
      </x:c>
      <x:c r="S179" s="40" t="str">
        <x:v>父子科技課 #178｜使用者訪談：問經驗，不問幻想</x:v>
      </x:c>
      <x:c r="T179" s="40" t="n">
        <x:v>4</x:v>
      </x:c>
      <x:c r="U179" s="38" t="str">
        <x:v>使用者訪談 問經驗，不問幻想 product design research presentation life skills beginner tutorial TED-Ed</x:v>
      </x:c>
      <x:c r="V179" s="38" t="str">
        <x:v>https://www.youtube.com/results?search_query=%E4%BD%BF%E7%94%A8%E8%80%85%E8%A8%AA%E8%AB%87+%E5%95%8F%E7%B6%93%E9%A9%97%EF%BC%8C%E4%B8%8D%E5%95%8F%E5%B9%BB%E6%83%B3+product+design+research+presentation+life+skills+beginner+tutorial+TED-Ed</x:v>
      </x:c>
      <x:c r="W179" s="38" t="str">
        <x:v>課前暖身</x:v>
      </x:c>
      <x:c r="X179" s="38" t="str">
        <x:v>使用者訪談 問經驗，不問幻想 練習開放問題、追問、記錄與不引導答案 hands on project for kids product design research presentation life skills</x:v>
      </x:c>
      <x:c r="Y179" s="38" t="str">
        <x:v>https://www.youtube.com/results?search_query=%E4%BD%BF%E7%94%A8%E8%80%85%E8%A8%AA%E8%AB%87+%E5%95%8F%E7%B6%93%E9%A9%97%EF%BC%8C%E4%B8%8D%E5%95%8F%E5%B9%BB%E6%83%B3+%E7%B7%B4%E7%BF%92%E9%96%8B%E6%94%BE%E5%95%8F%E9%A1%8C%E3%80%81%E8%BF%BD%E5%95%8F%E3%80%81%E8%A8%98%E9%8C%84%E8%88%87%E4%B8%8D%E5%BC%95%E5%B0%8E%E7%AD%94%E6%A1%88+hands+on+project+for+kids+product+design+research+presentation+life+skills</x:v>
      </x:c>
      <x:c r="Z179" s="38" t="str">
        <x:v>課中實作參考</x:v>
      </x:c>
      <x:c r="AA179" s="38" t="str">
        <x:v>使用者訪談 問經驗，不問幻想 中文 教學 原理 安全 親子 product design research presentation life skills</x:v>
      </x:c>
      <x:c r="AB179" s="38" t="str">
        <x:v>https://www.youtube.com/results?search_query=%E4%BD%BF%E7%94%A8%E8%80%85%E8%A8%AA%E8%AB%87+%E5%95%8F%E7%B6%93%E9%A9%97%EF%BC%8C%E4%B8%8D%E5%95%8F%E5%B9%BB%E6%83%B3+%E4%B8%AD%E6%96%87+%E6%95%99%E5%AD%B8+%E5%8E%9F%E7%90%86+%E5%AE%89%E5%85%A8+%E8%A6%AA%E5%AD%90+product+design+research+presentation+life+skills</x:v>
      </x:c>
      <x:c r="AC179" s="38" t="str">
        <x:v>課後延伸／親子討論</x:v>
      </x:c>
    </x:row>
    <x:row r="180" ht="105" customHeight="1">
      <x:c r="A180" s="40" t="n">
        <x:v>179</x:v>
      </x:c>
      <x:c r="B180" s="40" t="str">
        <x:v>第 4 年</x:v>
      </x:c>
      <x:c r="C180" s="40" t="str">
        <x:v>M12 獨立創作者：產品、研究、生活與傳承</x:v>
      </x:c>
      <x:c r="D180" s="40" t="n">
        <x:v>3</x:v>
      </x:c>
      <x:c r="E180" s="40" t="str">
        <x:v>產品需求：要做什麼，也要說不做什麼</x:v>
      </x:c>
      <x:c r="F180" s="40" t="str">
        <x:v>產品思維／溝通／財務／安全／研究／畢業專題</x:v>
      </x:c>
      <x:c r="G180" s="40" t="str">
        <x:v>撰寫目標、使用情境、功能、限制與非目標</x:v>
      </x:c>
      <x:c r="H180" s="40" t="str">
        <x:v>00–10 任務開場：產品需求：要做什麼，也要說不做什麼
10–25 概念示範：撰寫目標、使用情境、功能、限制與非目標
25–65 父子共同實作：把問題轉成一頁 PRD
65–75 休息／走動／聊天
75–105 孩子獨立改造：增加一個自選規則或功能
105–115 角色互換：孩子教爸爸操作與原理
115–120 錄音總結、作品命名、版本存檔</x:v>
      </x:c>
      <x:c r="I180" s="40" t="str">
        <x:v>把問題轉成一頁 PRD</x:v>
      </x:c>
      <x:c r="J180" s="40" t="str">
        <x:v>真實生活任務</x:v>
      </x:c>
      <x:c r="K180" s="40" t="str">
        <x:v>PRD v1</x:v>
      </x:c>
      <x:c r="L180" s="40" t="str">
        <x:v>問題拆解</x:v>
      </x:c>
      <x:c r="M180" s="40" t="str">
        <x:v>依課題準備材料；涉及急救、用電、工具或公開發布時由家長全程陪同。</x:v>
      </x:c>
      <x:c r="N180" s="40" t="str">
        <x:v>15–30 分鐘自由改造；寫三句學習日誌：我做了什麼、哪裡卡住、下次想加什麼。</x:v>
      </x:c>
      <x:c r="O180" s="40" t="str">
        <x:v>完成「PRD v1」；能不用看稿說出核心原理；能指出至少一個錯誤、限制或安全注意事項。</x:v>
      </x:c>
      <x:c r="P180" s="40" t="str">
        <x:v>R14</x:v>
      </x:c>
      <x:c r="Q180" s="40" t="str">
        <x:v>https://skills.github.com/</x:v>
      </x:c>
      <x:c r="R180" s="40" t="str">
        <x:v>請孩子回答：1. 產品需求：要做什麼，也要說不做什麼在解決什麼？2. 我怎麼做？3. 哪裡容易錯？4. 生活中哪裡會用到？</x:v>
      </x:c>
      <x:c r="S180" s="40" t="str">
        <x:v>父子科技課 #179｜產品需求：要做什麼，也要說不做什麼</x:v>
      </x:c>
      <x:c r="T180" s="40" t="n">
        <x:v>4</x:v>
      </x:c>
      <x:c r="U180" s="38" t="str">
        <x:v>產品需求 要做什麼，也要說不做什麼 product design research presentation life skills beginner tutorial TED-Ed</x:v>
      </x:c>
      <x:c r="V180" s="38" t="str">
        <x:v>https://www.youtube.com/results?search_query=%E7%94%A2%E5%93%81%E9%9C%80%E6%B1%82+%E8%A6%81%E5%81%9A%E4%BB%80%E9%BA%BC%EF%BC%8C%E4%B9%9F%E8%A6%81%E8%AA%AA%E4%B8%8D%E5%81%9A%E4%BB%80%E9%BA%BC+product+design+research+presentation+life+skills+beginner+tutorial+TED-Ed</x:v>
      </x:c>
      <x:c r="W180" s="38" t="str">
        <x:v>課前暖身</x:v>
      </x:c>
      <x:c r="X180" s="38" t="str">
        <x:v>產品需求 要做什麼，也要說不做什麼 撰寫目標、使用情境、功能、限制與非目標 hands on project for kids product design research presentation life skills</x:v>
      </x:c>
      <x:c r="Y180" s="38" t="str">
        <x:v>https://www.youtube.com/results?search_query=%E7%94%A2%E5%93%81%E9%9C%80%E6%B1%82+%E8%A6%81%E5%81%9A%E4%BB%80%E9%BA%BC%EF%BC%8C%E4%B9%9F%E8%A6%81%E8%AA%AA%E4%B8%8D%E5%81%9A%E4%BB%80%E9%BA%BC+%E6%92%B0%E5%AF%AB%E7%9B%AE%E6%A8%99%E3%80%81%E4%BD%BF%E7%94%A8%E6%83%85%E5%A2%83%E3%80%81%E5%8A%9F%E8%83%BD%E3%80%81%E9%99%90%E5%88%B6%E8%88%87%E9%9D%9E%E7%9B%AE%E6%A8%99+hands+on+project+for+kids+product+design+research+presentation+life+skills</x:v>
      </x:c>
      <x:c r="Z180" s="38" t="str">
        <x:v>課中實作參考</x:v>
      </x:c>
      <x:c r="AA180" s="38" t="str">
        <x:v>產品需求 要做什麼，也要說不做什麼 中文 教學 原理 安全 親子 product design research presentation life skills</x:v>
      </x:c>
      <x:c r="AB180" s="38" t="str">
        <x:v>https://www.youtube.com/results?search_query=%E7%94%A2%E5%93%81%E9%9C%80%E6%B1%82+%E8%A6%81%E5%81%9A%E4%BB%80%E9%BA%BC%EF%BC%8C%E4%B9%9F%E8%A6%81%E8%AA%AA%E4%B8%8D%E5%81%9A%E4%BB%80%E9%BA%BC+%E4%B8%AD%E6%96%87+%E6%95%99%E5%AD%B8+%E5%8E%9F%E7%90%86+%E5%AE%89%E5%85%A8+%E8%A6%AA%E5%AD%90+product+design+research+presentation+life+skills</x:v>
      </x:c>
      <x:c r="AC180" s="38" t="str">
        <x:v>課後延伸／親子討論</x:v>
      </x:c>
    </x:row>
    <x:row r="181" ht="105" customHeight="1">
      <x:c r="A181" s="40" t="n">
        <x:v>180</x:v>
      </x:c>
      <x:c r="B181" s="40" t="str">
        <x:v>第 4 年</x:v>
      </x:c>
      <x:c r="C181" s="40" t="str">
        <x:v>M12 獨立創作者：產品、研究、生活與傳承</x:v>
      </x:c>
      <x:c r="D181" s="40" t="n">
        <x:v>4</x:v>
      </x:c>
      <x:c r="E181" s="40" t="str">
        <x:v>優先順序：時間永遠不夠</x:v>
      </x:c>
      <x:c r="F181" s="40" t="str">
        <x:v>產品思維／溝通／財務／安全／研究／畢業專題</x:v>
      </x:c>
      <x:c r="G181" s="40" t="str">
        <x:v>使用影響/成本、Must/Should/Could 與 MVP</x:v>
      </x:c>
      <x:c r="H181" s="40" t="str">
        <x:v>00–10 任務開場：優先順序：時間永遠不夠
10–25 概念示範：使用影響/成本、Must/Should/Could 與 MVP
25–65 父子共同實作：把 20 個想法砍到 3 個核心功能
65–75 休息／走動／聊天
75–105 孩子獨立改造：增加一個自選規則或功能
105–115 角色互換：孩子教爸爸操作與原理
115–120 錄音總結、作品命名、版本存檔</x:v>
      </x:c>
      <x:c r="I181" s="40" t="str">
        <x:v>把 20 個想法砍到 3 個核心功能</x:v>
      </x:c>
      <x:c r="J181" s="40" t="str">
        <x:v>畢業工作坊</x:v>
      </x:c>
      <x:c r="K181" s="40" t="str">
        <x:v>MVP 範圍</x:v>
      </x:c>
      <x:c r="L181" s="40" t="str">
        <x:v>獨立生活</x:v>
      </x:c>
      <x:c r="M181" s="40" t="str">
        <x:v>依課題準備材料；涉及急救、用電、工具或公開發布時由家長全程陪同。</x:v>
      </x:c>
      <x:c r="N181" s="40" t="str">
        <x:v>15–30 分鐘自由改造；寫三句學習日誌：我做了什麼、哪裡卡住、下次想加什麼。</x:v>
      </x:c>
      <x:c r="O181" s="40" t="str">
        <x:v>完成「MVP 範圍」；能不用看稿說出核心原理；能指出至少一個錯誤、限制或安全注意事項。</x:v>
      </x:c>
      <x:c r="P181" s="40" t="str">
        <x:v>R27</x:v>
      </x:c>
      <x:c r="Q181" s="40" t="str">
        <x:v>https://www.khanacademy.org/</x:v>
      </x:c>
      <x:c r="R181" s="40" t="str">
        <x:v>請孩子回答：1. 優先順序：時間永遠不夠在解決什麼？2. 我怎麼做？3. 哪裡容易錯？4. 生活中哪裡會用到？</x:v>
      </x:c>
      <x:c r="S181" s="40" t="str">
        <x:v>父子科技課 #180｜優先順序：時間永遠不夠</x:v>
      </x:c>
      <x:c r="T181" s="40" t="n">
        <x:v>4</x:v>
      </x:c>
      <x:c r="U181" s="38" t="str">
        <x:v>優先順序 時間永遠不夠 product design research presentation life skills beginner tutorial TED-Ed</x:v>
      </x:c>
      <x:c r="V181" s="38" t="str">
        <x:v>https://www.youtube.com/results?search_query=%E5%84%AA%E5%85%88%E9%A0%86%E5%BA%8F+%E6%99%82%E9%96%93%E6%B0%B8%E9%81%A0%E4%B8%8D%E5%A4%A0+product+design+research+presentation+life+skills+beginner+tutorial+TED-Ed</x:v>
      </x:c>
      <x:c r="W181" s="38" t="str">
        <x:v>課前暖身</x:v>
      </x:c>
      <x:c r="X181" s="38" t="str">
        <x:v>優先順序 時間永遠不夠 使用影響/成本、Must/Should/Could 與 MVP hands on project for kids product design research presentation</x:v>
      </x:c>
      <x:c r="Y181" s="38" t="str">
        <x:v>https://www.youtube.com/results?search_query=%E5%84%AA%E5%85%88%E9%A0%86%E5%BA%8F+%E6%99%82%E9%96%93%E6%B0%B8%E9%81%A0%E4%B8%8D%E5%A4%A0+%E4%BD%BF%E7%94%A8%E5%BD%B1%E9%9F%BF%2F%E6%88%90%E6%9C%AC%E3%80%81Must%2FShould%2FCould+%E8%88%87+MVP+hands+on+project+for+kids+product+design+research+presentation+life+skills</x:v>
      </x:c>
      <x:c r="Z181" s="38" t="str">
        <x:v>課中實作參考</x:v>
      </x:c>
      <x:c r="AA181" s="38" t="str">
        <x:v>優先順序 時間永遠不夠 中文 教學 原理 安全 親子 product design research presentation life skills</x:v>
      </x:c>
      <x:c r="AB181" s="38" t="str">
        <x:v>https://www.youtube.com/results?search_query=%E5%84%AA%E5%85%88%E9%A0%86%E5%BA%8F+%E6%99%82%E9%96%93%E6%B0%B8%E9%81%A0%E4%B8%8D%E5%A4%A0+%E4%B8%AD%E6%96%87+%E6%95%99%E5%AD%B8+%E5%8E%9F%E7%90%86+%E5%AE%89%E5%85%A8+%E8%A6%AA%E5%AD%90+product+design+research+presentation+life+skills</x:v>
      </x:c>
      <x:c r="AC181" s="38" t="str">
        <x:v>課後延伸／親子討論</x:v>
      </x:c>
    </x:row>
    <x:row r="182" ht="105" customHeight="1">
      <x:c r="A182" s="40" t="n">
        <x:v>181</x:v>
      </x:c>
      <x:c r="B182" s="40" t="str">
        <x:v>第 4 年</x:v>
      </x:c>
      <x:c r="C182" s="40" t="str">
        <x:v>M12 獨立創作者：產品、研究、生活與傳承</x:v>
      </x:c>
      <x:c r="D182" s="40" t="n">
        <x:v>5</x:v>
      </x:c>
      <x:c r="E182" s="40" t="str">
        <x:v>估算與拆工：大象一口一口吃</x:v>
      </x:c>
      <x:c r="F182" s="40" t="str">
        <x:v>產品思維／溝通／財務／安全／研究／畢業專題</x:v>
      </x:c>
      <x:c r="G182" s="40" t="str">
        <x:v>把工作拆成 30–90 分鐘任務並標示依賴</x:v>
      </x:c>
      <x:c r="H182" s="40" t="str">
        <x:v>00–10 任務開場：估算與拆工：大象一口一口吃
10–25 概念示範：把工作拆成 30–90 分鐘任務並標示依賴
25–65 父子共同實作：建立兩週 Sprint 看板與完成定義
65–75 休息／走動／聊天
75–105 孩子獨立改造：增加一個自選規則或功能
105–115 角色互換：孩子教爸爸操作與原理
115–120 錄音總結、作品命名、版本存檔</x:v>
      </x:c>
      <x:c r="I182" s="40" t="str">
        <x:v>建立兩週 Sprint 看板與完成定義</x:v>
      </x:c>
      <x:c r="J182" s="40" t="str">
        <x:v>產品評審</x:v>
      </x:c>
      <x:c r="K182" s="40" t="str">
        <x:v>專題計畫</x:v>
      </x:c>
      <x:c r="L182" s="40" t="str">
        <x:v>自主管理</x:v>
      </x:c>
      <x:c r="M182" s="40" t="str">
        <x:v>依課題準備材料；涉及急救、用電、工具或公開發布時由家長全程陪同。</x:v>
      </x:c>
      <x:c r="N182" s="40" t="str">
        <x:v>15–30 分鐘自由改造；寫三句學習日誌：我做了什麼、哪裡卡住、下次想加什麼。</x:v>
      </x:c>
      <x:c r="O182" s="40" t="str">
        <x:v>完成「專題計畫」；能不用看稿說出核心原理；能指出至少一個錯誤、限制或安全注意事項。</x:v>
      </x:c>
      <x:c r="P182" s="40" t="str">
        <x:v>R14</x:v>
      </x:c>
      <x:c r="Q182" s="40" t="str">
        <x:v>https://skills.github.com/</x:v>
      </x:c>
      <x:c r="R182" s="40" t="str">
        <x:v>請孩子回答：1. 估算與拆工：大象一口一口吃在解決什麼？2. 我怎麼做？3. 哪裡容易錯？4. 生活中哪裡會用到？</x:v>
      </x:c>
      <x:c r="S182" s="40" t="str">
        <x:v>父子科技課 #181｜估算與拆工：大象一口一口吃</x:v>
      </x:c>
      <x:c r="T182" s="40" t="n">
        <x:v>4</x:v>
      </x:c>
      <x:c r="U182" s="38" t="str">
        <x:v>估算與拆工 大象一口一口吃 product design research presentation life skills beginner tutorial TED-Ed</x:v>
      </x:c>
      <x:c r="V182" s="38" t="str">
        <x:v>https://www.youtube.com/results?search_query=%E4%BC%B0%E7%AE%97%E8%88%87%E6%8B%86%E5%B7%A5+%E5%A4%A7%E8%B1%A1%E4%B8%80%E5%8F%A3%E4%B8%80%E5%8F%A3%E5%90%83+product+design+research+presentation+life+skills+beginner+tutorial+TED-Ed</x:v>
      </x:c>
      <x:c r="W182" s="38" t="str">
        <x:v>課前暖身</x:v>
      </x:c>
      <x:c r="X182" s="38" t="str">
        <x:v>估算與拆工 大象一口一口吃 把工作拆成 30 90 分鐘任務並標示依賴 hands on project for kids product design research</x:v>
      </x:c>
      <x:c r="Y182" s="38" t="str">
        <x:v>https://www.youtube.com/results?search_query=%E4%BC%B0%E7%AE%97%E8%88%87%E6%8B%86%E5%B7%A5+%E5%A4%A7%E8%B1%A1%E4%B8%80%E5%8F%A3%E4%B8%80%E5%8F%A3%E5%90%83+%E6%8A%8A%E5%B7%A5%E4%BD%9C%E6%8B%86%E6%88%90+30+90+%E5%88%86%E9%90%98%E4%BB%BB%E5%8B%99%E4%B8%A6%E6%A8%99%E7%A4%BA%E4%BE%9D%E8%B3%B4+hands+on+project+for+kids+product+design+research+presentation+life+skills</x:v>
      </x:c>
      <x:c r="Z182" s="38" t="str">
        <x:v>課中實作參考</x:v>
      </x:c>
      <x:c r="AA182" s="38" t="str">
        <x:v>估算與拆工 大象一口一口吃 中文 教學 原理 安全 親子 product design research presentation life skills</x:v>
      </x:c>
      <x:c r="AB182" s="38" t="str">
        <x:v>https://www.youtube.com/results?search_query=%E4%BC%B0%E7%AE%97%E8%88%87%E6%8B%86%E5%B7%A5+%E5%A4%A7%E8%B1%A1%E4%B8%80%E5%8F%A3%E4%B8%80%E5%8F%A3%E5%90%83+%E4%B8%AD%E6%96%87+%E6%95%99%E5%AD%B8+%E5%8E%9F%E7%90%86+%E5%AE%89%E5%85%A8+%E8%A6%AA%E5%AD%90+product+design+research+presentation+life+skills</x:v>
      </x:c>
      <x:c r="AC182" s="38" t="str">
        <x:v>課後延伸／親子討論</x:v>
      </x:c>
    </x:row>
    <x:row r="183" ht="105" customHeight="1">
      <x:c r="A183" s="40" t="n">
        <x:v>182</x:v>
      </x:c>
      <x:c r="B183" s="40" t="str">
        <x:v>第 4 年</x:v>
      </x:c>
      <x:c r="C183" s="40" t="str">
        <x:v>M12 獨立創作者：產品、研究、生活與傳承</x:v>
      </x:c>
      <x:c r="D183" s="40" t="n">
        <x:v>6</x:v>
      </x:c>
      <x:c r="E183" s="40" t="str">
        <x:v>預算與金錢：每個選擇都有機會成本</x:v>
      </x:c>
      <x:c r="F183" s="40" t="str">
        <x:v>產品思維／溝通／財務／安全／研究／畢業專題</x:v>
      </x:c>
      <x:c r="G183" s="40" t="str">
        <x:v>理解預算、固定/變動成本、價格比較與總持有成本</x:v>
      </x:c>
      <x:c r="H183" s="40" t="str">
        <x:v>00–10 任務開場：預算與金錢：每個選擇都有機會成本
10–25 概念示範：理解預算、固定/變動成本、價格比較與總持有成本
25–65 父子共同實作：為專題做 0 元、2000 元、5000 元三方案
65–75 休息／走動／聊天
75–105 孩子獨立改造：增加一個自選規則或功能
105–115 角色互換：孩子教爸爸操作與原理
115–120 錄音總結、作品命名、版本存檔</x:v>
      </x:c>
      <x:c r="I183" s="40" t="str">
        <x:v>為專題做 0 元、2000 元、5000 元三方案</x:v>
      </x:c>
      <x:c r="J183" s="40" t="str">
        <x:v>角色交換</x:v>
      </x:c>
      <x:c r="K183" s="40" t="str">
        <x:v>專題預算表</x:v>
      </x:c>
      <x:c r="L183" s="40" t="str">
        <x:v>自主管理</x:v>
      </x:c>
      <x:c r="M183" s="40" t="str">
        <x:v>依課題準備材料；涉及急救、用電、工具或公開發布時由家長全程陪同。</x:v>
      </x:c>
      <x:c r="N183" s="40" t="str">
        <x:v>15–30 分鐘自由改造；寫三句學習日誌：我做了什麼、哪裡卡住、下次想加什麼。</x:v>
      </x:c>
      <x:c r="O183" s="40" t="str">
        <x:v>完成「專題預算表」；能不用看稿說出核心原理；能指出至少一個錯誤、限制或安全注意事項。</x:v>
      </x:c>
      <x:c r="P183" s="40" t="str">
        <x:v>R27</x:v>
      </x:c>
      <x:c r="Q183" s="40" t="str">
        <x:v>https://www.khanacademy.org/</x:v>
      </x:c>
      <x:c r="R183" s="40" t="str">
        <x:v>請孩子回答：1. 預算與金錢：每個選擇都有機會成本在解決什麼？2. 我怎麼做？3. 哪裡容易錯？4. 生活中哪裡會用到？</x:v>
      </x:c>
      <x:c r="S183" s="40" t="str">
        <x:v>父子科技課 #182｜預算與金錢：每個選擇都有機會成本</x:v>
      </x:c>
      <x:c r="T183" s="40" t="n">
        <x:v>4</x:v>
      </x:c>
      <x:c r="U183" s="38" t="str">
        <x:v>預算與金錢 每個選擇都有機會成本 product design research presentation life skills beginner tutorial TED-Ed</x:v>
      </x:c>
      <x:c r="V183" s="38" t="str">
        <x:v>https://www.youtube.com/results?search_query=%E9%A0%90%E7%AE%97%E8%88%87%E9%87%91%E9%8C%A2+%E6%AF%8F%E5%80%8B%E9%81%B8%E6%93%87%E9%83%BD%E6%9C%89%E6%A9%9F%E6%9C%83%E6%88%90%E6%9C%AC+product+design+research+presentation+life+skills+beginner+tutorial+TED-Ed</x:v>
      </x:c>
      <x:c r="W183" s="38" t="str">
        <x:v>課前暖身</x:v>
      </x:c>
      <x:c r="X183" s="38" t="str">
        <x:v>預算與金錢 每個選擇都有機會成本 理解預算、固定/變動成本、價格比較與總持有成本 hands on project for kids product design research presentation life skills</x:v>
      </x:c>
      <x:c r="Y183" s="38" t="str">
        <x:v>https://www.youtube.com/results?search_query=%E9%A0%90%E7%AE%97%E8%88%87%E9%87%91%E9%8C%A2+%E6%AF%8F%E5%80%8B%E9%81%B8%E6%93%87%E9%83%BD%E6%9C%89%E6%A9%9F%E6%9C%83%E6%88%90%E6%9C%AC+%E7%90%86%E8%A7%A3%E9%A0%90%E7%AE%97%E3%80%81%E5%9B%BA%E5%AE%9A%2F%E8%AE%8A%E5%8B%95%E6%88%90%E6%9C%AC%E3%80%81%E5%83%B9%E6%A0%BC%E6%AF%94%E8%BC%83%E8%88%87%E7%B8%BD%E6%8C%81%E6%9C%89%E6%88%90%E6%9C%AC+hands+on+project+for+kids+product+design+research+presentation+life+skills</x:v>
      </x:c>
      <x:c r="Z183" s="38" t="str">
        <x:v>課中實作參考</x:v>
      </x:c>
      <x:c r="AA183" s="38" t="str">
        <x:v>預算與金錢 每個選擇都有機會成本 中文 教學 原理 安全 親子 product design research presentation life skills</x:v>
      </x:c>
      <x:c r="AB183" s="38" t="str">
        <x:v>https://www.youtube.com/results?search_query=%E9%A0%90%E7%AE%97%E8%88%87%E9%87%91%E9%8C%A2+%E6%AF%8F%E5%80%8B%E9%81%B8%E6%93%87%E9%83%BD%E6%9C%89%E6%A9%9F%E6%9C%83%E6%88%90%E6%9C%AC+%E4%B8%AD%E6%96%87+%E6%95%99%E5%AD%B8+%E5%8E%9F%E7%90%86+%E5%AE%89%E5%85%A8+%E8%A6%AA%E5%AD%90+product+design+research+presentation+life+skills</x:v>
      </x:c>
      <x:c r="AC183" s="38" t="str">
        <x:v>課後延伸／親子討論</x:v>
      </x:c>
    </x:row>
    <x:row r="184" ht="105" customHeight="1">
      <x:c r="A184" s="40" t="n">
        <x:v>183</x:v>
      </x:c>
      <x:c r="B184" s="40" t="str">
        <x:v>第 4 年</x:v>
      </x:c>
      <x:c r="C184" s="40" t="str">
        <x:v>M12 獨立創作者：產品、研究、生活與傳承</x:v>
      </x:c>
      <x:c r="D184" s="40" t="n">
        <x:v>7</x:v>
      </x:c>
      <x:c r="E184" s="40" t="str">
        <x:v>時間管理：能量比行事曆更重要</x:v>
      </x:c>
      <x:c r="F184" s="40" t="str">
        <x:v>產品思維／溝通／財務／安全／研究／畢業專題</x:v>
      </x:c>
      <x:c r="G184" s="40" t="str">
        <x:v>建立專注時段、休息、緩衝與每週回顧</x:v>
      </x:c>
      <x:c r="H184" s="40" t="str">
        <x:v>00–10 任務開場：時間管理：能量比行事曆更重要
10–25 概念示範：建立專注時段、休息、緩衝與每週回顧
25–65 父子共同實作：觀察一週能量，排出適合創作的時段
65–75 休息／走動／聊天
75–105 孩子獨立改造：增加一個自選規則或功能
105–115 角色互換：孩子教爸爸操作與原理
115–120 錄音總結、作品命名、版本存檔</x:v>
      </x:c>
      <x:c r="I184" s="40" t="str">
        <x:v>觀察一週能量，排出適合創作的時段</x:v>
      </x:c>
      <x:c r="J184" s="40" t="str">
        <x:v>真實生活任務</x:v>
      </x:c>
      <x:c r="K184" s="40" t="str">
        <x:v>個人工作節奏表</x:v>
      </x:c>
      <x:c r="L184" s="40" t="str">
        <x:v>自主管理</x:v>
      </x:c>
      <x:c r="M184" s="40" t="str">
        <x:v>依課題準備材料；涉及急救、用電、工具或公開發布時由家長全程陪同。</x:v>
      </x:c>
      <x:c r="N184" s="40" t="str">
        <x:v>15–30 分鐘自由改造；寫三句學習日誌：我做了什麼、哪裡卡住、下次想加什麼。</x:v>
      </x:c>
      <x:c r="O184" s="40" t="str">
        <x:v>完成「個人工作節奏表」；能不用看稿說出核心原理；能指出至少一個錯誤、限制或安全注意事項。</x:v>
      </x:c>
      <x:c r="P184" s="40" t="str">
        <x:v>R27</x:v>
      </x:c>
      <x:c r="Q184" s="40" t="str">
        <x:v>https://www.khanacademy.org/</x:v>
      </x:c>
      <x:c r="R184" s="40" t="str">
        <x:v>請孩子回答：1. 時間管理：能量比行事曆更重要在解決什麼？2. 我怎麼做？3. 哪裡容易錯？4. 生活中哪裡會用到？</x:v>
      </x:c>
      <x:c r="S184" s="40" t="str">
        <x:v>父子科技課 #183｜時間管理：能量比行事曆更重要</x:v>
      </x:c>
      <x:c r="T184" s="40" t="n">
        <x:v>4</x:v>
      </x:c>
      <x:c r="U184" s="38" t="str">
        <x:v>時間管理 能量比行事曆更重要 product design research presentation life skills beginner tutorial TED-Ed</x:v>
      </x:c>
      <x:c r="V184" s="38" t="str">
        <x:v>https://www.youtube.com/results?search_query=%E6%99%82%E9%96%93%E7%AE%A1%E7%90%86+%E8%83%BD%E9%87%8F%E6%AF%94%E8%A1%8C%E4%BA%8B%E6%9B%86%E6%9B%B4%E9%87%8D%E8%A6%81+product+design+research+presentation+life+skills+beginner+tutorial+TED-Ed</x:v>
      </x:c>
      <x:c r="W184" s="38" t="str">
        <x:v>課前暖身</x:v>
      </x:c>
      <x:c r="X184" s="38" t="str">
        <x:v>時間管理 能量比行事曆更重要 建立專注時段、休息、緩衝與每週回顧 hands on project for kids product design research presentation life skills</x:v>
      </x:c>
      <x:c r="Y184" s="38" t="str">
        <x:v>https://www.youtube.com/results?search_query=%E6%99%82%E9%96%93%E7%AE%A1%E7%90%86+%E8%83%BD%E9%87%8F%E6%AF%94%E8%A1%8C%E4%BA%8B%E6%9B%86%E6%9B%B4%E9%87%8D%E8%A6%81+%E5%BB%BA%E7%AB%8B%E5%B0%88%E6%B3%A8%E6%99%82%E6%AE%B5%E3%80%81%E4%BC%91%E6%81%AF%E3%80%81%E7%B7%A9%E8%A1%9D%E8%88%87%E6%AF%8F%E9%80%B1%E5%9B%9E%E9%A1%A7+hands+on+project+for+kids+product+design+research+presentation+life+skills</x:v>
      </x:c>
      <x:c r="Z184" s="38" t="str">
        <x:v>課中實作參考</x:v>
      </x:c>
      <x:c r="AA184" s="38" t="str">
        <x:v>時間管理 能量比行事曆更重要 中文 教學 原理 安全 親子 product design research presentation life skills</x:v>
      </x:c>
      <x:c r="AB184" s="38" t="str">
        <x:v>https://www.youtube.com/results?search_query=%E6%99%82%E9%96%93%E7%AE%A1%E7%90%86+%E8%83%BD%E9%87%8F%E6%AF%94%E8%A1%8C%E4%BA%8B%E6%9B%86%E6%9B%B4%E9%87%8D%E8%A6%81+%E4%B8%AD%E6%96%87+%E6%95%99%E5%AD%B8+%E5%8E%9F%E7%90%86+%E5%AE%89%E5%85%A8+%E8%A6%AA%E5%AD%90+product+design+research+presentation+life+skills</x:v>
      </x:c>
      <x:c r="AC184" s="38" t="str">
        <x:v>課後延伸／親子討論</x:v>
      </x:c>
    </x:row>
    <x:row r="185" ht="105" customHeight="1">
      <x:c r="A185" s="40" t="n">
        <x:v>184</x:v>
      </x:c>
      <x:c r="B185" s="40" t="str">
        <x:v>第 4 年</x:v>
      </x:c>
      <x:c r="C185" s="40" t="str">
        <x:v>M12 獨立創作者：產品、研究、生活與傳承</x:v>
      </x:c>
      <x:c r="D185" s="40" t="n">
        <x:v>8</x:v>
      </x:c>
      <x:c r="E185" s="40" t="str">
        <x:v>溝通與衝突：批評作品，不攻擊人</x:v>
      </x:c>
      <x:c r="F185" s="40" t="str">
        <x:v>產品思維／溝通／財務／安全／研究／畢業專題</x:v>
      </x:c>
      <x:c r="G185" s="40" t="str">
        <x:v>使用事實—影響—需求—建議表達回饋</x:v>
      </x:c>
      <x:c r="H185" s="40" t="str">
        <x:v>00–10 任務開場：溝通與衝突：批評作品，不攻擊人
10–25 概念示範：使用事實—影響—需求—建議表達回饋
25–65 父子共同實作：父子就一個設計分歧進行角色交換協商
65–75 休息／走動／聊天
75–105 孩子獨立改造：增加一個自選規則或功能
105–115 角色互換：孩子教爸爸操作與原理
115–120 錄音總結、作品命名、版本存檔</x:v>
      </x:c>
      <x:c r="I185" s="40" t="str">
        <x:v>父子就一個設計分歧進行角色交換協商</x:v>
      </x:c>
      <x:c r="J185" s="40" t="str">
        <x:v>畢業工作坊</x:v>
      </x:c>
      <x:c r="K185" s="40" t="str">
        <x:v>合作公約</x:v>
      </x:c>
      <x:c r="L185" s="40" t="str">
        <x:v>溝通表達</x:v>
      </x:c>
      <x:c r="M185" s="40" t="str">
        <x:v>依課題準備材料；涉及急救、用電、工具或公開發布時由家長全程陪同。</x:v>
      </x:c>
      <x:c r="N185" s="40" t="str">
        <x:v>15–30 分鐘自由改造；寫三句學習日誌：我做了什麼、哪裡卡住、下次想加什麼。</x:v>
      </x:c>
      <x:c r="O185" s="40" t="str">
        <x:v>完成「合作公約」；能不用看稿說出核心原理；能指出至少一個錯誤、限制或安全注意事項。</x:v>
      </x:c>
      <x:c r="P185" s="40" t="str">
        <x:v>R27</x:v>
      </x:c>
      <x:c r="Q185" s="40" t="str">
        <x:v>https://www.khanacademy.org/</x:v>
      </x:c>
      <x:c r="R185" s="40" t="str">
        <x:v>請孩子回答：1. 溝通與衝突：批評作品，不攻擊人在解決什麼？2. 我怎麼做？3. 哪裡容易錯？4. 生活中哪裡會用到？</x:v>
      </x:c>
      <x:c r="S185" s="40" t="str">
        <x:v>父子科技課 #184｜溝通與衝突：批評作品，不攻擊人</x:v>
      </x:c>
      <x:c r="T185" s="40" t="n">
        <x:v>4</x:v>
      </x:c>
      <x:c r="U185" s="38" t="str">
        <x:v>溝通與衝突 批評作品，不攻擊人 product design research presentation life skills beginner tutorial TED-Ed</x:v>
      </x:c>
      <x:c r="V185" s="38" t="str">
        <x:v>https://www.youtube.com/results?search_query=%E6%BA%9D%E9%80%9A%E8%88%87%E8%A1%9D%E7%AA%81+%E6%89%B9%E8%A9%95%E4%BD%9C%E5%93%81%EF%BC%8C%E4%B8%8D%E6%94%BB%E6%93%8A%E4%BA%BA+product+design+research+presentation+life+skills+beginner+tutorial+TED-Ed</x:v>
      </x:c>
      <x:c r="W185" s="38" t="str">
        <x:v>課前暖身</x:v>
      </x:c>
      <x:c r="X185" s="38" t="str">
        <x:v>溝通與衝突 批評作品，不攻擊人 使用事實 影響 需求 建議表達回饋 hands on project for kids product design research</x:v>
      </x:c>
      <x:c r="Y185" s="38" t="str">
        <x:v>https://www.youtube.com/results?search_query=%E6%BA%9D%E9%80%9A%E8%88%87%E8%A1%9D%E7%AA%81+%E6%89%B9%E8%A9%95%E4%BD%9C%E5%93%81%EF%BC%8C%E4%B8%8D%E6%94%BB%E6%93%8A%E4%BA%BA+%E4%BD%BF%E7%94%A8%E4%BA%8B%E5%AF%A6+%E5%BD%B1%E9%9F%BF+%E9%9C%80%E6%B1%82+%E5%BB%BA%E8%AD%B0%E8%A1%A8%E9%81%94%E5%9B%9E%E9%A5%8B+hands+on+project+for+kids+product+design+research+presentation+life+skills</x:v>
      </x:c>
      <x:c r="Z185" s="38" t="str">
        <x:v>課中實作參考</x:v>
      </x:c>
      <x:c r="AA185" s="38" t="str">
        <x:v>溝通與衝突 批評作品，不攻擊人 中文 教學 原理 安全 親子 product design research presentation life skills</x:v>
      </x:c>
      <x:c r="AB185" s="38" t="str">
        <x:v>https://www.youtube.com/results?search_query=%E6%BA%9D%E9%80%9A%E8%88%87%E8%A1%9D%E7%AA%81+%E6%89%B9%E8%A9%95%E4%BD%9C%E5%93%81%EF%BC%8C%E4%B8%8D%E6%94%BB%E6%93%8A%E4%BA%BA+%E4%B8%AD%E6%96%87+%E6%95%99%E5%AD%B8+%E5%8E%9F%E7%90%86+%E5%AE%89%E5%85%A8+%E8%A6%AA%E5%AD%90+product+design+research+presentation+life+skills</x:v>
      </x:c>
      <x:c r="AC185" s="38" t="str">
        <x:v>課後延伸／親子討論</x:v>
      </x:c>
    </x:row>
    <x:row r="186" ht="105" customHeight="1">
      <x:c r="A186" s="40" t="n">
        <x:v>185</x:v>
      </x:c>
      <x:c r="B186" s="40" t="str">
        <x:v>第 4 年</x:v>
      </x:c>
      <x:c r="C186" s="40" t="str">
        <x:v>M12 獨立創作者：產品、研究、生活與傳承</x:v>
      </x:c>
      <x:c r="D186" s="40" t="n">
        <x:v>9</x:v>
      </x:c>
      <x:c r="E186" s="40" t="str">
        <x:v>急救與緊急思維</x:v>
      </x:c>
      <x:c r="F186" s="40" t="str">
        <x:v>產品思維／溝通／財務／安全／研究／畢業專題</x:v>
      </x:c>
      <x:c r="G186" s="40" t="str">
        <x:v>先確保現場安全、求助、提供正確資訊；技能需正式訓練</x:v>
      </x:c>
      <x:c r="H186" s="40" t="str">
        <x:v>00–10 任務開場：急救與緊急思維
10–25 概念示範：先確保現場安全、求助、提供正確資訊；技能需正式訓練
25–65 父子共同實作：演練打求救電話、描述位置/狀況；查找合適正式課程
65–75 休息／走動／聊天
75–105 孩子獨立改造：增加一個自選規則或功能
105–115 角色互換：孩子教爸爸操作與原理
115–120 錄音總結、作品命名、版本存檔</x:v>
      </x:c>
      <x:c r="I186" s="40" t="str">
        <x:v>演練打求救電話、描述位置/狀況；查找合適正式課程</x:v>
      </x:c>
      <x:c r="J186" s="40" t="str">
        <x:v>產品評審</x:v>
      </x:c>
      <x:c r="K186" s="40" t="str">
        <x:v>家庭緊急聯絡卡</x:v>
      </x:c>
      <x:c r="L186" s="40" t="str">
        <x:v>安全</x:v>
      </x:c>
      <x:c r="M186" s="40" t="str">
        <x:v>依課題準備材料；涉及急救、用電、工具或公開發布時由家長全程陪同。</x:v>
      </x:c>
      <x:c r="N186" s="40" t="str">
        <x:v>15–30 分鐘自由改造；寫三句學習日誌：我做了什麼、哪裡卡住、下次想加什麼。</x:v>
      </x:c>
      <x:c r="O186" s="40" t="str">
        <x:v>完成「家庭緊急聯絡卡」；能不用看稿說出核心原理；能指出至少一個錯誤、限制或安全注意事項。</x:v>
      </x:c>
      <x:c r="P186" s="40" t="str">
        <x:v>R25</x:v>
      </x:c>
      <x:c r="Q186" s="40" t="str">
        <x:v>https://www.redcross-class.org.tw/course</x:v>
      </x:c>
      <x:c r="R186" s="40" t="str">
        <x:v>請孩子回答：1. 急救與緊急思維在解決什麼？2. 我怎麼做？3. 哪裡容易錯？4. 生活中哪裡會用到？</x:v>
      </x:c>
      <x:c r="S186" s="40" t="str">
        <x:v>父子科技課 #185｜急救與緊急思維</x:v>
      </x:c>
      <x:c r="T186" s="40" t="n">
        <x:v>5</x:v>
      </x:c>
      <x:c r="U186" s="38" t="str">
        <x:v>急救與緊急思維 product design research presentation life skills beginner tutorial TED-Ed</x:v>
      </x:c>
      <x:c r="V186" s="38" t="str">
        <x:v>https://www.youtube.com/results?search_query=%E6%80%A5%E6%95%91%E8%88%87%E7%B7%8A%E6%80%A5%E6%80%9D%E7%B6%AD+product+design+research+presentation+life+skills+beginner+tutorial+TED-Ed</x:v>
      </x:c>
      <x:c r="W186" s="38" t="str">
        <x:v>課前暖身</x:v>
      </x:c>
      <x:c r="X186" s="38" t="str">
        <x:v>急救與緊急思維 先確保現場安全、求助、提供正確資訊；技能需正式訓練 hands on project for kids product design research presentation life skills</x:v>
      </x:c>
      <x:c r="Y186" s="38" t="str">
        <x:v>https://www.youtube.com/results?search_query=%E6%80%A5%E6%95%91%E8%88%87%E7%B7%8A%E6%80%A5%E6%80%9D%E7%B6%AD+%E5%85%88%E7%A2%BA%E4%BF%9D%E7%8F%BE%E5%A0%B4%E5%AE%89%E5%85%A8%E3%80%81%E6%B1%82%E5%8A%A9%E3%80%81%E6%8F%90%E4%BE%9B%E6%AD%A3%E7%A2%BA%E8%B3%87%E8%A8%8A%EF%BC%9B%E6%8A%80%E8%83%BD%E9%9C%80%E6%AD%A3%E5%BC%8F%E8%A8%93%E7%B7%B4+hands+on+project+for+kids+product+design+research+presentation+life+skills</x:v>
      </x:c>
      <x:c r="Z186" s="38" t="str">
        <x:v>課中實作參考</x:v>
      </x:c>
      <x:c r="AA186" s="38" t="str">
        <x:v>急救與緊急思維 中文 教學 原理 安全 親子 product design research presentation life skills</x:v>
      </x:c>
      <x:c r="AB186" s="38" t="str">
        <x:v>https://www.youtube.com/results?search_query=%E6%80%A5%E6%95%91%E8%88%87%E7%B7%8A%E6%80%A5%E6%80%9D%E7%B6%AD+%E4%B8%AD%E6%96%87+%E6%95%99%E5%AD%B8+%E5%8E%9F%E7%90%86+%E5%AE%89%E5%85%A8+%E8%A6%AA%E5%AD%90+product+design+research+presentation+life+skills</x:v>
      </x:c>
      <x:c r="AC186" s="38" t="str">
        <x:v>課後延伸／親子討論</x:v>
      </x:c>
    </x:row>
    <x:row r="187" ht="105" customHeight="1">
      <x:c r="A187" s="40" t="n">
        <x:v>186</x:v>
      </x:c>
      <x:c r="B187" s="40" t="str">
        <x:v>第 4 年</x:v>
      </x:c>
      <x:c r="C187" s="40" t="str">
        <x:v>M12 獨立創作者：產品、研究、生活與傳承</x:v>
      </x:c>
      <x:c r="D187" s="40" t="n">
        <x:v>10</x:v>
      </x:c>
      <x:c r="E187" s="40" t="str">
        <x:v>料理也是工程：量測、流程與衛生</x:v>
      </x:c>
      <x:c r="F187" s="40" t="str">
        <x:v>產品思維／溝通／財務／安全／研究／畢業專題</x:v>
      </x:c>
      <x:c r="G187" s="40" t="str">
        <x:v>理解重量、比例、溫度、計時、清潔與事後復盤</x:v>
      </x:c>
      <x:c r="H187" s="40" t="str">
        <x:v>00–10 任務開場：料理也是工程：量測、流程與衛生
10–25 概念示範：理解重量、比例、溫度、計時、清潔與事後復盤
25–65 父子共同實作：共同完成一道可量化食譜，記錄偏差與改版
65–75 休息／走動／聊天
75–105 孩子獨立改造：增加一個自選規則或功能
105–115 角色互換：孩子教爸爸操作與原理
115–120 錄音總結、作品命名、版本存檔</x:v>
      </x:c>
      <x:c r="I187" s="40" t="str">
        <x:v>共同完成一道可量化食譜，記錄偏差與改版</x:v>
      </x:c>
      <x:c r="J187" s="40" t="str">
        <x:v>角色交換</x:v>
      </x:c>
      <x:c r="K187" s="40" t="str">
        <x:v>食譜 v2＋實驗紀錄</x:v>
      </x:c>
      <x:c r="L187" s="40" t="str">
        <x:v>問題拆解</x:v>
      </x:c>
      <x:c r="M187" s="40" t="str">
        <x:v>依課題準備材料；涉及急救、用電、工具或公開發布時由家長全程陪同。</x:v>
      </x:c>
      <x:c r="N187" s="40" t="str">
        <x:v>15–30 分鐘自由改造；寫三句學習日誌：我做了什麼、哪裡卡住、下次想加什麼。</x:v>
      </x:c>
      <x:c r="O187" s="40" t="str">
        <x:v>完成「食譜 v2＋實驗紀錄」；能不用看稿說出核心原理；能指出至少一個錯誤、限制或安全注意事項。</x:v>
      </x:c>
      <x:c r="P187" s="40" t="str">
        <x:v>R27</x:v>
      </x:c>
      <x:c r="Q187" s="40" t="str">
        <x:v>https://www.khanacademy.org/</x:v>
      </x:c>
      <x:c r="R187" s="40" t="str">
        <x:v>請孩子回答：1. 料理也是工程：量測、流程與衛生在解決什麼？2. 我怎麼做？3. 哪裡容易錯？4. 生活中哪裡會用到？</x:v>
      </x:c>
      <x:c r="S187" s="40" t="str">
        <x:v>父子科技課 #186｜料理也是工程：量測、流程與衛生</x:v>
      </x:c>
      <x:c r="T187" s="40" t="n">
        <x:v>5</x:v>
      </x:c>
      <x:c r="U187" s="38" t="str">
        <x:v>料理也是工程 量測、流程與衛生 product design research presentation life skills beginner tutorial TED-Ed</x:v>
      </x:c>
      <x:c r="V187" s="38" t="str">
        <x:v>https://www.youtube.com/results?search_query=%E6%96%99%E7%90%86%E4%B9%9F%E6%98%AF%E5%B7%A5%E7%A8%8B+%E9%87%8F%E6%B8%AC%E3%80%81%E6%B5%81%E7%A8%8B%E8%88%87%E8%A1%9B%E7%94%9F+product+design+research+presentation+life+skills+beginner+tutorial+TED-Ed</x:v>
      </x:c>
      <x:c r="W187" s="38" t="str">
        <x:v>課前暖身</x:v>
      </x:c>
      <x:c r="X187" s="38" t="str">
        <x:v>料理也是工程 量測、流程與衛生 理解重量、比例、溫度、計時、清潔與事後復盤 hands on project for kids product design research presentation life skills</x:v>
      </x:c>
      <x:c r="Y187" s="38" t="str">
        <x:v>https://www.youtube.com/results?search_query=%E6%96%99%E7%90%86%E4%B9%9F%E6%98%AF%E5%B7%A5%E7%A8%8B+%E9%87%8F%E6%B8%AC%E3%80%81%E6%B5%81%E7%A8%8B%E8%88%87%E8%A1%9B%E7%94%9F+%E7%90%86%E8%A7%A3%E9%87%8D%E9%87%8F%E3%80%81%E6%AF%94%E4%BE%8B%E3%80%81%E6%BA%AB%E5%BA%A6%E3%80%81%E8%A8%88%E6%99%82%E3%80%81%E6%B8%85%E6%BD%94%E8%88%87%E4%BA%8B%E5%BE%8C%E5%BE%A9%E7%9B%A4+hands+on+project+for+kids+product+design+research+presentation+life+skills</x:v>
      </x:c>
      <x:c r="Z187" s="38" t="str">
        <x:v>課中實作參考</x:v>
      </x:c>
      <x:c r="AA187" s="38" t="str">
        <x:v>料理也是工程 量測、流程與衛生 中文 教學 原理 安全 親子 product design research presentation life skills</x:v>
      </x:c>
      <x:c r="AB187" s="38" t="str">
        <x:v>https://www.youtube.com/results?search_query=%E6%96%99%E7%90%86%E4%B9%9F%E6%98%AF%E5%B7%A5%E7%A8%8B+%E9%87%8F%E6%B8%AC%E3%80%81%E6%B5%81%E7%A8%8B%E8%88%87%E8%A1%9B%E7%94%9F+%E4%B8%AD%E6%96%87+%E6%95%99%E5%AD%B8+%E5%8E%9F%E7%90%86+%E5%AE%89%E5%85%A8+%E8%A6%AA%E5%AD%90+product+design+research+presentation+life+skills</x:v>
      </x:c>
      <x:c r="AC187" s="38" t="str">
        <x:v>課後延伸／親子討論</x:v>
      </x:c>
    </x:row>
    <x:row r="188" ht="105" customHeight="1">
      <x:c r="A188" s="40" t="n">
        <x:v>187</x:v>
      </x:c>
      <x:c r="B188" s="40" t="str">
        <x:v>第 4 年</x:v>
      </x:c>
      <x:c r="C188" s="40" t="str">
        <x:v>M12 獨立創作者：產品、研究、生活與傳承</x:v>
      </x:c>
      <x:c r="D188" s="40" t="n">
        <x:v>11</x:v>
      </x:c>
      <x:c r="E188" s="40" t="str">
        <x:v>維修思維：先診斷，不要亂拆</x:v>
      </x:c>
      <x:c r="F188" s="40" t="str">
        <x:v>產品思維／溝通／財務／安全／研究／畢業專題</x:v>
      </x:c>
      <x:c r="G188" s="40" t="str">
        <x:v>練習症狀、重現、隔離變因、查手冊與安全停損</x:v>
      </x:c>
      <x:c r="H188" s="40" t="str">
        <x:v>00–10 任務開場：維修思維：先診斷，不要亂拆
10–25 概念示範：練習症狀、重現、隔離變因、查手冊與安全停損
25–65 父子共同實作：診斷一個安全的小問題，如線材、軟體或鬆動零件
65–75 休息／走動／聊天
75–105 孩子獨立改造：增加一個自選規則或功能
105–115 角色互換：孩子教爸爸操作與原理
115–120 錄音總結、作品命名、版本存檔</x:v>
      </x:c>
      <x:c r="I188" s="40" t="str">
        <x:v>診斷一個安全的小問題，如線材、軟體或鬆動零件</x:v>
      </x:c>
      <x:c r="J188" s="40" t="str">
        <x:v>真實生活任務</x:v>
      </x:c>
      <x:c r="K188" s="40" t="str">
        <x:v>故障診斷單</x:v>
      </x:c>
      <x:c r="L188" s="40" t="str">
        <x:v>獨立生活</x:v>
      </x:c>
      <x:c r="M188" s="40" t="str">
        <x:v>依課題準備材料；涉及急救、用電、工具或公開發布時由家長全程陪同。</x:v>
      </x:c>
      <x:c r="N188" s="40" t="str">
        <x:v>15–30 分鐘自由改造；寫三句學習日誌：我做了什麼、哪裡卡住、下次想加什麼。</x:v>
      </x:c>
      <x:c r="O188" s="40" t="str">
        <x:v>完成「故障診斷單」；能不用看稿說出核心原理；能指出至少一個錯誤、限制或安全注意事項。</x:v>
      </x:c>
      <x:c r="P188" s="40" t="str">
        <x:v>R23</x:v>
      </x:c>
      <x:c r="Q188" s="40" t="str">
        <x:v>https://consumer.ftc.gov/identity-theft-and-online-security/online-privacy-and-security</x:v>
      </x:c>
      <x:c r="R188" s="40" t="str">
        <x:v>請孩子回答：1. 維修思維：先診斷，不要亂拆在解決什麼？2. 我怎麼做？3. 哪裡容易錯？4. 生活中哪裡會用到？</x:v>
      </x:c>
      <x:c r="S188" s="40" t="str">
        <x:v>父子科技課 #187｜維修思維：先診斷，不要亂拆</x:v>
      </x:c>
      <x:c r="T188" s="40" t="n">
        <x:v>5</x:v>
      </x:c>
      <x:c r="U188" s="38" t="str">
        <x:v>維修思維 先診斷，不要亂拆 product design research presentation life skills beginner tutorial TED-Ed</x:v>
      </x:c>
      <x:c r="V188" s="38" t="str">
        <x:v>https://www.youtube.com/results?search_query=%E7%B6%AD%E4%BF%AE%E6%80%9D%E7%B6%AD+%E5%85%88%E8%A8%BA%E6%96%B7%EF%BC%8C%E4%B8%8D%E8%A6%81%E4%BA%82%E6%8B%86+product+design+research+presentation+life+skills+beginner+tutorial+TED-Ed</x:v>
      </x:c>
      <x:c r="W188" s="38" t="str">
        <x:v>課前暖身</x:v>
      </x:c>
      <x:c r="X188" s="38" t="str">
        <x:v>維修思維 先診斷，不要亂拆 練習症狀、重現、隔離變因、查手冊與安全停損 hands on project for kids product design research presentation life skills</x:v>
      </x:c>
      <x:c r="Y188" s="38" t="str">
        <x:v>https://www.youtube.com/results?search_query=%E7%B6%AD%E4%BF%AE%E6%80%9D%E7%B6%AD+%E5%85%88%E8%A8%BA%E6%96%B7%EF%BC%8C%E4%B8%8D%E8%A6%81%E4%BA%82%E6%8B%86+%E7%B7%B4%E7%BF%92%E7%97%87%E7%8B%80%E3%80%81%E9%87%8D%E7%8F%BE%E3%80%81%E9%9A%94%E9%9B%A2%E8%AE%8A%E5%9B%A0%E3%80%81%E6%9F%A5%E6%89%8B%E5%86%8A%E8%88%87%E5%AE%89%E5%85%A8%E5%81%9C%E6%90%8D+hands+on+project+for+kids+product+design+research+presentation+life+skills</x:v>
      </x:c>
      <x:c r="Z188" s="38" t="str">
        <x:v>課中實作參考</x:v>
      </x:c>
      <x:c r="AA188" s="38" t="str">
        <x:v>維修思維 先診斷，不要亂拆 中文 教學 原理 安全 親子 product design research presentation life skills</x:v>
      </x:c>
      <x:c r="AB188" s="38" t="str">
        <x:v>https://www.youtube.com/results?search_query=%E7%B6%AD%E4%BF%AE%E6%80%9D%E7%B6%AD+%E5%85%88%E8%A8%BA%E6%96%B7%EF%BC%8C%E4%B8%8D%E8%A6%81%E4%BA%82%E6%8B%86+%E4%B8%AD%E6%96%87+%E6%95%99%E5%AD%B8+%E5%8E%9F%E7%90%86+%E5%AE%89%E5%85%A8+%E8%A6%AA%E5%AD%90+product+design+research+presentation+life+skills</x:v>
      </x:c>
      <x:c r="AC188" s="38" t="str">
        <x:v>課後延伸／親子討論</x:v>
      </x:c>
    </x:row>
    <x:row r="189" ht="105" customHeight="1">
      <x:c r="A189" s="40" t="n">
        <x:v>188</x:v>
      </x:c>
      <x:c r="B189" s="40" t="str">
        <x:v>第 4 年</x:v>
      </x:c>
      <x:c r="C189" s="40" t="str">
        <x:v>M12 獨立創作者：產品、研究、生活與傳承</x:v>
      </x:c>
      <x:c r="D189" s="40" t="n">
        <x:v>12</x:v>
      </x:c>
      <x:c r="E189" s="40" t="str">
        <x:v>研究方法：主張、證據、反例與限制</x:v>
      </x:c>
      <x:c r="F189" s="40" t="str">
        <x:v>產品思維／溝通／財務／安全／研究／畢業專題</x:v>
      </x:c>
      <x:c r="G189" s="40" t="str">
        <x:v>建立研究問題、來源層級、筆記與可重現步驟</x:v>
      </x:c>
      <x:c r="H189" s="40" t="str">
        <x:v>00–10 任務開場：研究方法：主張、證據、反例與限制
10–25 概念示範：建立研究問題、來源層級、筆記與可重現步驟
25–65 父子共同實作：比較三個來源對同一科技的說法並寫結論
65–75 休息／走動／聊天
75–105 孩子獨立改造：增加一個自選規則或功能
105–115 角色互換：孩子教爸爸操作與原理
115–120 錄音總結、作品命名、版本存檔</x:v>
      </x:c>
      <x:c r="I189" s="40" t="str">
        <x:v>比較三個來源對同一科技的說法並寫結論</x:v>
      </x:c>
      <x:c r="J189" s="40" t="str">
        <x:v>畢業工作坊</x:v>
      </x:c>
      <x:c r="K189" s="40" t="str">
        <x:v>迷你研究報告</x:v>
      </x:c>
      <x:c r="L189" s="40" t="str">
        <x:v>資訊判讀</x:v>
      </x:c>
      <x:c r="M189" s="40" t="str">
        <x:v>依課題準備材料；涉及急救、用電、工具或公開發布時由家長全程陪同。</x:v>
      </x:c>
      <x:c r="N189" s="40" t="str">
        <x:v>15–30 分鐘自由改造；寫三句學習日誌：我做了什麼、哪裡卡住、下次想加什麼。</x:v>
      </x:c>
      <x:c r="O189" s="40" t="str">
        <x:v>完成「迷你研究報告」；能不用看稿說出核心原理；能指出至少一個錯誤、限制或安全注意事項。</x:v>
      </x:c>
      <x:c r="P189" s="40" t="str">
        <x:v>R20</x:v>
      </x:c>
      <x:c r="Q189" s="40" t="str">
        <x:v>https://academy.openai.com/</x:v>
      </x:c>
      <x:c r="R189" s="40" t="str">
        <x:v>請孩子回答：1. 研究方法：主張、證據、反例與限制在解決什麼？2. 我怎麼做？3. 哪裡容易錯？4. 生活中哪裡會用到？</x:v>
      </x:c>
      <x:c r="S189" s="40" t="str">
        <x:v>父子科技課 #188｜研究方法：主張、證據、反例與限制</x:v>
      </x:c>
      <x:c r="T189" s="40" t="n">
        <x:v>5</x:v>
      </x:c>
      <x:c r="U189" s="38" t="str">
        <x:v>研究方法 主張、證據、反例與限制 product design research presentation life skills beginner tutorial TED-Ed</x:v>
      </x:c>
      <x:c r="V189" s="38" t="str">
        <x:v>https://www.youtube.com/results?search_query=%E7%A0%94%E7%A9%B6%E6%96%B9%E6%B3%95+%E4%B8%BB%E5%BC%B5%E3%80%81%E8%AD%89%E6%93%9A%E3%80%81%E5%8F%8D%E4%BE%8B%E8%88%87%E9%99%90%E5%88%B6+product+design+research+presentation+life+skills+beginner+tutorial+TED-Ed</x:v>
      </x:c>
      <x:c r="W189" s="38" t="str">
        <x:v>課前暖身</x:v>
      </x:c>
      <x:c r="X189" s="38" t="str">
        <x:v>研究方法 主張、證據、反例與限制 建立研究問題、來源層級、筆記與可重現步驟 hands on project for kids product design research presentation life skills</x:v>
      </x:c>
      <x:c r="Y189" s="38" t="str">
        <x:v>https://www.youtube.com/results?search_query=%E7%A0%94%E7%A9%B6%E6%96%B9%E6%B3%95+%E4%B8%BB%E5%BC%B5%E3%80%81%E8%AD%89%E6%93%9A%E3%80%81%E5%8F%8D%E4%BE%8B%E8%88%87%E9%99%90%E5%88%B6+%E5%BB%BA%E7%AB%8B%E7%A0%94%E7%A9%B6%E5%95%8F%E9%A1%8C%E3%80%81%E4%BE%86%E6%BA%90%E5%B1%A4%E7%B4%9A%E3%80%81%E7%AD%86%E8%A8%98%E8%88%87%E5%8F%AF%E9%87%8D%E7%8F%BE%E6%AD%A5%E9%A9%9F+hands+on+project+for+kids+product+design+research+presentation+life+skills</x:v>
      </x:c>
      <x:c r="Z189" s="38" t="str">
        <x:v>課中實作參考</x:v>
      </x:c>
      <x:c r="AA189" s="38" t="str">
        <x:v>研究方法 主張、證據、反例與限制 中文 教學 原理 安全 親子 product design research presentation life skills</x:v>
      </x:c>
      <x:c r="AB189" s="38" t="str">
        <x:v>https://www.youtube.com/results?search_query=%E7%A0%94%E7%A9%B6%E6%96%B9%E6%B3%95+%E4%B8%BB%E5%BC%B5%E3%80%81%E8%AD%89%E6%93%9A%E3%80%81%E5%8F%8D%E4%BE%8B%E8%88%87%E9%99%90%E5%88%B6+%E4%B8%AD%E6%96%87+%E6%95%99%E5%AD%B8+%E5%8E%9F%E7%90%86+%E5%AE%89%E5%85%A8+%E8%A6%AA%E5%AD%90+product+design+research+presentation+life+skills</x:v>
      </x:c>
      <x:c r="AC189" s="38" t="str">
        <x:v>課後延伸／親子討論</x:v>
      </x:c>
    </x:row>
    <x:row r="190" ht="105" customHeight="1">
      <x:c r="A190" s="40" t="n">
        <x:v>189</x:v>
      </x:c>
      <x:c r="B190" s="40" t="str">
        <x:v>第 4 年</x:v>
      </x:c>
      <x:c r="C190" s="40" t="str">
        <x:v>M12 獨立創作者：產品、研究、生活與傳承</x:v>
      </x:c>
      <x:c r="D190" s="40" t="n">
        <x:v>13</x:v>
      </x:c>
      <x:c r="E190" s="40" t="str">
        <x:v>畢業專題提案</x:v>
      </x:c>
      <x:c r="F190" s="40" t="str">
        <x:v>產品思維／溝通／財務／安全／研究／畢業專題</x:v>
      </x:c>
      <x:c r="G190" s="40" t="str">
        <x:v>整合問題、使用者、方案、技術、風險、時程與驗收</x:v>
      </x:c>
      <x:c r="H190" s="40" t="str">
        <x:v>00–10 任務開場：畢業專題提案
10–25 概念示範：整合問題、使用者、方案、技術、風險、時程與驗收
25–65 父子共同實作：做 5 分鐘 Pitch，由爸爸扮演評審追問
65–75 休息／走動／聊天
75–105 孩子獨立改造：增加一個自選規則或功能
105–115 角色互換：孩子教爸爸操作與原理
115–120 錄音總結、作品命名、版本存檔</x:v>
      </x:c>
      <x:c r="I190" s="40" t="str">
        <x:v>做 5 分鐘 Pitch，由爸爸扮演評審追問</x:v>
      </x:c>
      <x:c r="J190" s="40" t="str">
        <x:v>產品評審</x:v>
      </x:c>
      <x:c r="K190" s="40" t="str">
        <x:v>Capstone Proposal</x:v>
      </x:c>
      <x:c r="L190" s="40" t="str">
        <x:v>獨立生活</x:v>
      </x:c>
      <x:c r="M190" s="40" t="str">
        <x:v>依課題準備材料；涉及急救、用電、工具或公開發布時由家長全程陪同。</x:v>
      </x:c>
      <x:c r="N190" s="40" t="str">
        <x:v>15–30 分鐘自由改造；寫三句學習日誌：我做了什麼、哪裡卡住、下次想加什麼。</x:v>
      </x:c>
      <x:c r="O190" s="40" t="str">
        <x:v>完成「Capstone Proposal」；能不用看稿說出核心原理；能指出至少一個錯誤、限制或安全注意事項。</x:v>
      </x:c>
      <x:c r="P190" s="40" t="str">
        <x:v>R14</x:v>
      </x:c>
      <x:c r="Q190" s="40" t="str">
        <x:v>https://skills.github.com/</x:v>
      </x:c>
      <x:c r="R190" s="40" t="str">
        <x:v>請孩子回答：1. 畢業專題提案在解決什麼？2. 我怎麼做？3. 哪裡容易錯？4. 生活中哪裡會用到？</x:v>
      </x:c>
      <x:c r="S190" s="40" t="str">
        <x:v>父子科技課 #189｜畢業專題提案</x:v>
      </x:c>
      <x:c r="T190" s="40" t="n">
        <x:v>5</x:v>
      </x:c>
      <x:c r="U190" s="38" t="str">
        <x:v>畢業專題提案 product design research presentation life skills beginner tutorial TED-Ed</x:v>
      </x:c>
      <x:c r="V190" s="38" t="str">
        <x:v>https://www.youtube.com/results?search_query=%E7%95%A2%E6%A5%AD%E5%B0%88%E9%A1%8C%E6%8F%90%E6%A1%88+product+design+research+presentation+life+skills+beginner+tutorial+TED-Ed</x:v>
      </x:c>
      <x:c r="W190" s="38" t="str">
        <x:v>課前暖身</x:v>
      </x:c>
      <x:c r="X190" s="38" t="str">
        <x:v>畢業專題提案 整合問題、使用者、方案、技術、風險、時程與驗收 hands on project for kids product design research presentation life skills</x:v>
      </x:c>
      <x:c r="Y190" s="38" t="str">
        <x:v>https://www.youtube.com/results?search_query=%E7%95%A2%E6%A5%AD%E5%B0%88%E9%A1%8C%E6%8F%90%E6%A1%88+%E6%95%B4%E5%90%88%E5%95%8F%E9%A1%8C%E3%80%81%E4%BD%BF%E7%94%A8%E8%80%85%E3%80%81%E6%96%B9%E6%A1%88%E3%80%81%E6%8A%80%E8%A1%93%E3%80%81%E9%A2%A8%E9%9A%AA%E3%80%81%E6%99%82%E7%A8%8B%E8%88%87%E9%A9%97%E6%94%B6+hands+on+project+for+kids+product+design+research+presentation+life+skills</x:v>
      </x:c>
      <x:c r="Z190" s="38" t="str">
        <x:v>課中實作參考</x:v>
      </x:c>
      <x:c r="AA190" s="38" t="str">
        <x:v>畢業專題提案 中文 教學 原理 安全 親子 product design research presentation life skills</x:v>
      </x:c>
      <x:c r="AB190" s="38" t="str">
        <x:v>https://www.youtube.com/results?search_query=%E7%95%A2%E6%A5%AD%E5%B0%88%E9%A1%8C%E6%8F%90%E6%A1%88+%E4%B8%AD%E6%96%87+%E6%95%99%E5%AD%B8+%E5%8E%9F%E7%90%86+%E5%AE%89%E5%85%A8+%E8%A6%AA%E5%AD%90+product+design+research+presentation+life+skills</x:v>
      </x:c>
      <x:c r="AC190" s="38" t="str">
        <x:v>課後延伸／親子討論</x:v>
      </x:c>
    </x:row>
    <x:row r="191" ht="105" customHeight="1">
      <x:c r="A191" s="40" t="n">
        <x:v>190</x:v>
      </x:c>
      <x:c r="B191" s="40" t="str">
        <x:v>第 4 年</x:v>
      </x:c>
      <x:c r="C191" s="40" t="str">
        <x:v>M12 獨立創作者：產品、研究、生活與傳承</x:v>
      </x:c>
      <x:c r="D191" s="40" t="n">
        <x:v>14</x:v>
      </x:c>
      <x:c r="E191" s="40" t="str">
        <x:v>畢業專題 Build Sprint</x:v>
      </x:c>
      <x:c r="F191" s="40" t="str">
        <x:v>產品思維／溝通／財務／安全／研究／畢業專題</x:v>
      </x:c>
      <x:c r="G191" s="40" t="str">
        <x:v>以每日可展示成果推進，持續測試與紀錄決策</x:v>
      </x:c>
      <x:c r="H191" s="40" t="str">
        <x:v>00–10 任務開場：畢業專題 Build Sprint
10–25 概念示範：以每日可展示成果推進，持續測試與紀錄決策
25–65 父子共同實作：完成端到端 MVP，保留工作日誌與 commit
65–75 休息／走動／聊天
75–105 孩子獨立改造：增加一個自選規則或功能
105–115 角色互換：孩子教爸爸操作與原理
115–120 錄音總結、作品命名、版本存檔</x:v>
      </x:c>
      <x:c r="I191" s="40" t="str">
        <x:v>完成端到端 MVP，保留工作日誌與 commit</x:v>
      </x:c>
      <x:c r="J191" s="40" t="str">
        <x:v>角色交換</x:v>
      </x:c>
      <x:c r="K191" s="40" t="str">
        <x:v>Capstone Alpha</x:v>
      </x:c>
      <x:c r="L191" s="40" t="str">
        <x:v>獨立生活</x:v>
      </x:c>
      <x:c r="M191" s="40" t="str">
        <x:v>依課題準備材料；涉及急救、用電、工具或公開發布時由家長全程陪同。</x:v>
      </x:c>
      <x:c r="N191" s="40" t="str">
        <x:v>15–30 分鐘自由改造；寫三句學習日誌：我做了什麼、哪裡卡住、下次想加什麼。</x:v>
      </x:c>
      <x:c r="O191" s="40" t="str">
        <x:v>完成「Capstone Alpha」；能不用看稿說出核心原理；能指出至少一個錯誤、限制或安全注意事項。</x:v>
      </x:c>
      <x:c r="P191" s="40" t="str">
        <x:v>R14</x:v>
      </x:c>
      <x:c r="Q191" s="40" t="str">
        <x:v>https://skills.github.com/</x:v>
      </x:c>
      <x:c r="R191" s="40" t="str">
        <x:v>請孩子回答：1. 畢業專題 Build Sprint在解決什麼？2. 我怎麼做？3. 哪裡容易錯？4. 生活中哪裡會用到？</x:v>
      </x:c>
      <x:c r="S191" s="40" t="str">
        <x:v>父子科技課 #190｜畢業專題 Build Sprint</x:v>
      </x:c>
      <x:c r="T191" s="40" t="n">
        <x:v>5</x:v>
      </x:c>
      <x:c r="U191" s="38" t="str">
        <x:v>畢業專題 Build Sprint product design research presentation life skills beginner tutorial TED-Ed</x:v>
      </x:c>
      <x:c r="V191" s="38" t="str">
        <x:v>https://www.youtube.com/results?search_query=%E7%95%A2%E6%A5%AD%E5%B0%88%E9%A1%8C+Build+Sprint+product+design+research+presentation+life+skills+beginner+tutorial+TED-Ed</x:v>
      </x:c>
      <x:c r="W191" s="38" t="str">
        <x:v>課前暖身</x:v>
      </x:c>
      <x:c r="X191" s="38" t="str">
        <x:v>畢業專題 Build Sprint 以每日可展示成果推進，持續測試與紀錄決策 hands on project for kids product design research presentation life</x:v>
      </x:c>
      <x:c r="Y191" s="38" t="str">
        <x:v>https://www.youtube.com/results?search_query=%E7%95%A2%E6%A5%AD%E5%B0%88%E9%A1%8C+Build+Sprint+%E4%BB%A5%E6%AF%8F%E6%97%A5%E5%8F%AF%E5%B1%95%E7%A4%BA%E6%88%90%E6%9E%9C%E6%8E%A8%E9%80%B2%EF%BC%8C%E6%8C%81%E7%BA%8C%E6%B8%AC%E8%A9%A6%E8%88%87%E7%B4%80%E9%8C%84%E6%B1%BA%E7%AD%96+hands+on+project+for+kids+product+design+research+presentation+life+skills</x:v>
      </x:c>
      <x:c r="Z191" s="38" t="str">
        <x:v>課中實作參考</x:v>
      </x:c>
      <x:c r="AA191" s="38" t="str">
        <x:v>畢業專題 Build Sprint 中文 教學 原理 安全 親子 product design research presentation life skills</x:v>
      </x:c>
      <x:c r="AB191" s="38" t="str">
        <x:v>https://www.youtube.com/results?search_query=%E7%95%A2%E6%A5%AD%E5%B0%88%E9%A1%8C+Build+Sprint+%E4%B8%AD%E6%96%87+%E6%95%99%E5%AD%B8+%E5%8E%9F%E7%90%86+%E5%AE%89%E5%85%A8+%E8%A6%AA%E5%AD%90+product+design+research+presentation+life+skills</x:v>
      </x:c>
      <x:c r="AC191" s="38" t="str">
        <x:v>課後延伸／親子討論</x:v>
      </x:c>
    </x:row>
    <x:row r="192" ht="105" customHeight="1">
      <x:c r="A192" s="40" t="n">
        <x:v>191</x:v>
      </x:c>
      <x:c r="B192" s="40" t="str">
        <x:v>第 4 年</x:v>
      </x:c>
      <x:c r="C192" s="40" t="str">
        <x:v>M12 獨立創作者：產品、研究、生活與傳承</x:v>
      </x:c>
      <x:c r="D192" s="40" t="n">
        <x:v>15</x:v>
      </x:c>
      <x:c r="E192" s="40" t="str">
        <x:v>正式製作：文件、影片、來源與發布</x:v>
      </x:c>
      <x:c r="F192" s="40" t="str">
        <x:v>產品思維／溝通／財務／安全／研究／畢業專題</x:v>
      </x:c>
      <x:c r="G192" s="40" t="str">
        <x:v>完成產品、教學、簡報、TTS、影片、README 與安全檢查</x:v>
      </x:c>
      <x:c r="H192" s="40" t="str">
        <x:v>00–10 任務開場：正式製作：文件、影片、來源與發布
10–25 概念示範：完成產品、教學、簡報、TTS、影片、README 與安全檢查
25–65 父子共同實作：依內容工廠流程產出可公開素材包
65–75 休息／走動／聊天
75–105 孩子獨立改造：增加一個自選規則或功能
105–115 角色互換：孩子教爸爸操作與原理
115–120 錄音總結、作品命名、版本存檔</x:v>
      </x:c>
      <x:c r="I192" s="40" t="str">
        <x:v>依內容工廠流程產出可公開素材包</x:v>
      </x:c>
      <x:c r="J192" s="40" t="str">
        <x:v>真實生活任務</x:v>
      </x:c>
      <x:c r="K192" s="40" t="str">
        <x:v>Capstone Release Candidate</x:v>
      </x:c>
      <x:c r="L192" s="40" t="str">
        <x:v>資訊判讀</x:v>
      </x:c>
      <x:c r="M192" s="40" t="str">
        <x:v>依課題準備材料；涉及急救、用電、工具或公開發布時由家長全程陪同。</x:v>
      </x:c>
      <x:c r="N192" s="40" t="str">
        <x:v>15–30 分鐘自由改造；寫三句學習日誌：我做了什麼、哪裡卡住、下次想加什麼。</x:v>
      </x:c>
      <x:c r="O192" s="40" t="str">
        <x:v>完成「Capstone Release Candidate」；能不用看稿說出核心原理；能指出至少一個錯誤、限制或安全注意事項。</x:v>
      </x:c>
      <x:c r="P192" s="40" t="str">
        <x:v>R26</x:v>
      </x:c>
      <x:c r="Q192" s="40" t="str">
        <x:v>https://creatoracademy.youtube.com/page/lesson/copyright-guidelines</x:v>
      </x:c>
      <x:c r="R192" s="40" t="str">
        <x:v>請孩子回答：1. 正式製作：文件、影片、來源與發布在解決什麼？2. 我怎麼做？3. 哪裡容易錯？4. 生活中哪裡會用到？</x:v>
      </x:c>
      <x:c r="S192" s="40" t="str">
        <x:v>父子科技課 #191｜正式製作：文件、影片、來源與發布</x:v>
      </x:c>
      <x:c r="T192" s="40" t="n">
        <x:v>5</x:v>
      </x:c>
      <x:c r="U192" s="38" t="str">
        <x:v>正式製作 文件、影片、來源與發布 product design research presentation life skills beginner tutorial TED-Ed</x:v>
      </x:c>
      <x:c r="V192" s="38" t="str">
        <x:v>https://www.youtube.com/results?search_query=%E6%AD%A3%E5%BC%8F%E8%A3%BD%E4%BD%9C+%E6%96%87%E4%BB%B6%E3%80%81%E5%BD%B1%E7%89%87%E3%80%81%E4%BE%86%E6%BA%90%E8%88%87%E7%99%BC%E5%B8%83+product+design+research+presentation+life+skills+beginner+tutorial+TED-Ed</x:v>
      </x:c>
      <x:c r="W192" s="38" t="str">
        <x:v>課前暖身</x:v>
      </x:c>
      <x:c r="X192" s="38" t="str">
        <x:v>正式製作 文件、影片、來源與發布 完成產品、教學、簡報、TTS、影片、README 與安全檢查 hands on project for kids product design research presentation life</x:v>
      </x:c>
      <x:c r="Y192" s="38" t="str">
        <x:v>https://www.youtube.com/results?search_query=%E6%AD%A3%E5%BC%8F%E8%A3%BD%E4%BD%9C+%E6%96%87%E4%BB%B6%E3%80%81%E5%BD%B1%E7%89%87%E3%80%81%E4%BE%86%E6%BA%90%E8%88%87%E7%99%BC%E5%B8%83+%E5%AE%8C%E6%88%90%E7%94%A2%E5%93%81%E3%80%81%E6%95%99%E5%AD%B8%E3%80%81%E7%B0%A1%E5%A0%B1%E3%80%81TTS%E3%80%81%E5%BD%B1%E7%89%87%E3%80%81README+%E8%88%87%E5%AE%89%E5%85%A8%E6%AA%A2%E6%9F%A5+hands+on+project+for+kids+product+design+research+presentation+life+skills</x:v>
      </x:c>
      <x:c r="Z192" s="38" t="str">
        <x:v>課中實作參考</x:v>
      </x:c>
      <x:c r="AA192" s="38" t="str">
        <x:v>正式製作 文件、影片、來源與發布 中文 教學 原理 安全 親子 product design research presentation life skills</x:v>
      </x:c>
      <x:c r="AB192" s="38" t="str">
        <x:v>https://www.youtube.com/results?search_query=%E6%AD%A3%E5%BC%8F%E8%A3%BD%E4%BD%9C+%E6%96%87%E4%BB%B6%E3%80%81%E5%BD%B1%E7%89%87%E3%80%81%E4%BE%86%E6%BA%90%E8%88%87%E7%99%BC%E5%B8%83+%E4%B8%AD%E6%96%87+%E6%95%99%E5%AD%B8+%E5%8E%9F%E7%90%86+%E5%AE%89%E5%85%A8+%E8%A6%AA%E5%AD%90+product+design+research+presentation+life+skills</x:v>
      </x:c>
      <x:c r="AC192" s="38" t="str">
        <x:v>課後延伸／親子討論</x:v>
      </x:c>
    </x:row>
    <x:row r="193" ht="105" customHeight="1">
      <x:c r="A193" s="40" t="n">
        <x:v>192</x:v>
      </x:c>
      <x:c r="B193" s="40" t="str">
        <x:v>第 4 年</x:v>
      </x:c>
      <x:c r="C193" s="40" t="str">
        <x:v>M12 獨立創作者：產品、研究、生活與傳承</x:v>
      </x:c>
      <x:c r="D193" s="40" t="n">
        <x:v>16</x:v>
      </x:c>
      <x:c r="E193" s="40" t="str">
        <x:v>畢業與 Teach-back：換孩子教爸爸</x:v>
      </x:c>
      <x:c r="F193" s="40" t="str">
        <x:v>產品思維／溝通／財務／安全／研究／畢業專題</x:v>
      </x:c>
      <x:c r="G193" s="40" t="str">
        <x:v>以能教會別人作為真正掌握的驗收</x:v>
      </x:c>
      <x:c r="H193" s="40" t="str">
        <x:v>00–10 任務開場：畢業與 Teach-back：換孩子教爸爸
10–25 概念示範：以能教會別人作為真正掌握的驗收
25–65 父子共同實作：孩子主持 20 分鐘工作坊，爸爸只能當學生與提問者
65–75 休息／走動／聊天
75–105 孩子獨立改造：增加一個自選規則或功能
105–115 角色互換：孩子教爸爸操作與原理
115–120 錄音總結、作品命名、版本存檔</x:v>
      </x:c>
      <x:c r="I193" s="40" t="str">
        <x:v>孩子主持 20 分鐘工作坊，爸爸只能當學生與提問者</x:v>
      </x:c>
      <x:c r="J193" s="40" t="str">
        <x:v>畢業工作坊</x:v>
      </x:c>
      <x:c r="K193" s="40" t="str">
        <x:v>正式作品＋公開教學＋四年回顧</x:v>
      </x:c>
      <x:c r="L193" s="40" t="str">
        <x:v>溝通表達</x:v>
      </x:c>
      <x:c r="M193" s="40" t="str">
        <x:v>依課題準備材料；涉及急救、用電、工具或公開發布時由家長全程陪同。</x:v>
      </x:c>
      <x:c r="N193" s="40" t="str">
        <x:v>15–30 分鐘自由改造；寫三句學習日誌：我做了什麼、哪裡卡住、下次想加什麼。</x:v>
      </x:c>
      <x:c r="O193" s="40" t="str">
        <x:v>完成「正式作品＋公開教學＋四年回顧」；能不用看稿說出核心原理；能指出至少一個錯誤、限制或安全注意事項。</x:v>
      </x:c>
      <x:c r="P193" s="40" t="str">
        <x:v>R26</x:v>
      </x:c>
      <x:c r="Q193" s="40" t="str">
        <x:v>https://creatoracademy.youtube.com/page/lesson/copyright-guidelines</x:v>
      </x:c>
      <x:c r="R193" s="40" t="str">
        <x:v>請孩子回答：1. 畢業與 Teach-back：換孩子教爸爸在解決什麼？2. 我怎麼做？3. 哪裡容易錯？4. 生活中哪裡會用到？</x:v>
      </x:c>
      <x:c r="S193" s="40" t="str">
        <x:v>父子科技課 #192｜畢業與 Teach-back：換孩子教爸爸</x:v>
      </x:c>
      <x:c r="T193" s="40" t="n">
        <x:v>5</x:v>
      </x:c>
      <x:c r="U193" s="38" t="str">
        <x:v>畢業與 Teach back 換孩子教爸爸 product design research presentation life skills beginner tutorial TED-Ed</x:v>
      </x:c>
      <x:c r="V193" s="38" t="str">
        <x:v>https://www.youtube.com/results?search_query=%E7%95%A2%E6%A5%AD%E8%88%87+Teach+back+%E6%8F%9B%E5%AD%A9%E5%AD%90%E6%95%99%E7%88%B8%E7%88%B8+product+design+research+presentation+life+skills+beginner+tutorial+TED-Ed</x:v>
      </x:c>
      <x:c r="W193" s="38" t="str">
        <x:v>課前暖身</x:v>
      </x:c>
      <x:c r="X193" s="38" t="str">
        <x:v>畢業與 Teach back 換孩子教爸爸 以能教會別人作為真正掌握的驗收 hands on project for kids product design research presentation</x:v>
      </x:c>
      <x:c r="Y193" s="38" t="str">
        <x:v>https://www.youtube.com/results?search_query=%E7%95%A2%E6%A5%AD%E8%88%87+Teach+back+%E6%8F%9B%E5%AD%A9%E5%AD%90%E6%95%99%E7%88%B8%E7%88%B8+%E4%BB%A5%E8%83%BD%E6%95%99%E6%9C%83%E5%88%A5%E4%BA%BA%E4%BD%9C%E7%82%BA%E7%9C%9F%E6%AD%A3%E6%8E%8C%E6%8F%A1%E7%9A%84%E9%A9%97%E6%94%B6+hands+on+project+for+kids+product+design+research+presentation+life+skills</x:v>
      </x:c>
      <x:c r="Z193" s="38" t="str">
        <x:v>課中實作參考</x:v>
      </x:c>
      <x:c r="AA193" s="38" t="str">
        <x:v>畢業與 Teach back 換孩子教爸爸 中文 教學 原理 安全 親子 product design research presentation life</x:v>
      </x:c>
      <x:c r="AB193" s="38" t="str">
        <x:v>https://www.youtube.com/results?search_query=%E7%95%A2%E6%A5%AD%E8%88%87+Teach+back+%E6%8F%9B%E5%AD%A9%E5%AD%90%E6%95%99%E7%88%B8%E7%88%B8+%E4%B8%AD%E6%96%87+%E6%95%99%E5%AD%B8+%E5%8E%9F%E7%90%86+%E5%AE%89%E5%85%A8+%E8%A6%AA%E5%AD%90+product+design+research+presentation+life+skills</x:v>
      </x:c>
      <x:c r="AC193" s="38" t="str">
        <x:v>課後延伸／親子討論</x:v>
      </x:c>
    </x:row>
  </x:sheetData>
  <x:conditionalFormatting sqref="B2:B193">
    <x:cfRule type="expression" dxfId="0" priority="1">
      <x:formula>B2="第 1 年"</x:formula>
    </x:cfRule>
    <x:cfRule type="expression" dxfId="1" priority="2">
      <x:formula>B2="第 2 年"</x:formula>
    </x:cfRule>
    <x:cfRule type="expression" dxfId="2" priority="3">
      <x:formula>B2="第 3 年"</x:formula>
    </x:cfRule>
    <x:cfRule type="expression" dxfId="3" priority="4">
      <x:formula>B2="第 4 年"</x:formula>
    </x:cfRule>
  </x:conditionalFormatting>
  <x:conditionalFormatting sqref="T2:T193">
    <x:cfRule type="dataBar" priority="5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{61EF46AA-024D-2987-115F-EFFB321AFC99}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baf15d93e0e4c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61EF46AA-024D-2987-115F-EFFB321AFC99}">
            <x14:dataBar gradient="1">
              <x14:cfvo type="min"/>
              <x14:cfvo type="max"/>
              <x14:fillColor rgb="FF1F4E78"/>
            </x14:dataBar>
          </x14:cfRule>
          <xm:sqref>T2:T193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34" hidden="0" customWidth="1"/>
    <x:col min="4" max="4" width="13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36" hidden="0" customWidth="1"/>
    <x:col min="16" max="16" width="36" hidden="0" customWidth="1"/>
    <x:col min="17" max="17" width="36" hidden="0" customWidth="1"/>
    <x:col min="18" max="18" width="12" hidden="0" customWidth="1"/>
  </x:cols>
  <x:sheetData>
    <x:row r="1" ht="28" customHeight="1">
      <x:c r="A1" s="32" t="str">
        <x:v>總課次</x:v>
      </x:c>
      <x:c r="B1" s="32" t="str">
        <x:v>模組</x:v>
      </x:c>
      <x:c r="C1" s="32" t="str">
        <x:v>課程主題</x:v>
      </x:c>
      <x:c r="D1" s="32" t="str">
        <x:v>預定日期</x:v>
      </x:c>
      <x:c r="E1" s="32" t="str">
        <x:v>實際日期</x:v>
      </x:c>
      <x:c r="F1" s="32" t="str">
        <x:v>狀態</x:v>
      </x:c>
      <x:c r="G1" s="32" t="str">
        <x:v>興趣 1–5</x:v>
      </x:c>
      <x:c r="H1" s="32" t="str">
        <x:v>理解 1–5</x:v>
      </x:c>
      <x:c r="I1" s="32" t="str">
        <x:v>實作完成 %</x:v>
      </x:c>
      <x:c r="J1" s="32" t="str">
        <x:v>錄音檔連結</x:v>
      </x:c>
      <x:c r="K1" s="32" t="str">
        <x:v>文字稿連結</x:v>
      </x:c>
      <x:c r="L1" s="32" t="str">
        <x:v>PPT 連結</x:v>
      </x:c>
      <x:c r="M1" s="32" t="str">
        <x:v>TTS 連結</x:v>
      </x:c>
      <x:c r="N1" s="32" t="str">
        <x:v>YouTube 連結</x:v>
      </x:c>
      <x:c r="O1" s="32" t="str">
        <x:v>爸爸觀察</x:v>
      </x:c>
      <x:c r="P1" s="32" t="str">
        <x:v>孩子回饋</x:v>
      </x:c>
      <x:c r="Q1" s="32" t="str">
        <x:v>下次調整</x:v>
      </x:c>
      <x:c r="R1" s="32" t="str">
        <x:v>實際時數</x:v>
      </x:c>
    </x:row>
    <x:row r="2" ht="46" customHeight="1">
      <x:c r="A2" s="38" t="n">
        <x:v>1</x:v>
      </x:c>
      <x:c r="B2" s="38" t="str">
        <x:v>M01 數位探險家：Mac、網路、AI 與安全</x:v>
      </x:c>
      <x:c r="C2" s="38" t="str">
        <x:v>開學任務：把 MacBook 變成我的工作站</x:v>
      </x:c>
      <x:c r="D2" s="42"/>
      <x:c r="E2" s="42"/>
      <x:c r="F2" s="38" t="str">
        <x:v>未開始</x:v>
      </x:c>
      <x:c r="G2" s="38"/>
      <x:c r="H2" s="38"/>
      <x:c r="I2" s="44" t="n">
        <x:v>0</x:v>
      </x:c>
      <x:c r="J2" s="38" t="str"/>
      <x:c r="K2" s="38" t="str"/>
      <x:c r="L2" s="38" t="str"/>
      <x:c r="M2" s="38" t="str"/>
      <x:c r="N2" s="38" t="str"/>
      <x:c r="O2" s="38" t="str"/>
      <x:c r="P2" s="38" t="str"/>
      <x:c r="Q2" s="38" t="str"/>
      <x:c r="R2" s="46"/>
    </x:row>
    <x:row r="3" ht="46" customHeight="1">
      <x:c r="A3" s="38" t="n">
        <x:v>2</x:v>
      </x:c>
      <x:c r="B3" s="38" t="str">
        <x:v>M01 數位探險家：Mac、網路、AI 與安全</x:v>
      </x:c>
      <x:c r="C3" s="38" t="str">
        <x:v>檔案與資料夾尋寶</x:v>
      </x:c>
      <x:c r="D3" s="42"/>
      <x:c r="E3" s="42"/>
      <x:c r="F3" s="38" t="str">
        <x:v>未開始</x:v>
      </x:c>
      <x:c r="G3" s="38"/>
      <x:c r="H3" s="38"/>
      <x:c r="I3" s="44" t="n">
        <x:v>0</x:v>
      </x:c>
      <x:c r="J3" s="38" t="str"/>
      <x:c r="K3" s="38" t="str"/>
      <x:c r="L3" s="38" t="str"/>
      <x:c r="M3" s="38" t="str"/>
      <x:c r="N3" s="38" t="str"/>
      <x:c r="O3" s="38" t="str"/>
      <x:c r="P3" s="38" t="str"/>
      <x:c r="Q3" s="38" t="str"/>
      <x:c r="R3" s="46"/>
    </x:row>
    <x:row r="4" ht="46" customHeight="1">
      <x:c r="A4" s="38" t="n">
        <x:v>3</x:v>
      </x:c>
      <x:c r="B4" s="38" t="str">
        <x:v>M01 數位探險家：Mac、網路、AI 與安全</x:v>
      </x:c>
      <x:c r="C4" s="38" t="str">
        <x:v>鍵盤忍者：快捷鍵競速</x:v>
      </x:c>
      <x:c r="D4" s="42"/>
      <x:c r="E4" s="42"/>
      <x:c r="F4" s="38" t="str">
        <x:v>未開始</x:v>
      </x:c>
      <x:c r="G4" s="38"/>
      <x:c r="H4" s="38"/>
      <x:c r="I4" s="44" t="n">
        <x:v>0</x:v>
      </x:c>
      <x:c r="J4" s="38" t="str"/>
      <x:c r="K4" s="38" t="str"/>
      <x:c r="L4" s="38" t="str"/>
      <x:c r="M4" s="38" t="str"/>
      <x:c r="N4" s="38" t="str"/>
      <x:c r="O4" s="38" t="str"/>
      <x:c r="P4" s="38" t="str"/>
      <x:c r="Q4" s="38" t="str"/>
      <x:c r="R4" s="46"/>
    </x:row>
    <x:row r="5" ht="46" customHeight="1">
      <x:c r="A5" s="38" t="n">
        <x:v>4</x:v>
      </x:c>
      <x:c r="B5" s="38" t="str">
        <x:v>M01 數位探險家：Mac、網路、AI 與安全</x:v>
      </x:c>
      <x:c r="C5" s="38" t="str">
        <x:v>網路到底是什麼：封包接力賽</x:v>
      </x:c>
      <x:c r="D5" s="42"/>
      <x:c r="E5" s="42"/>
      <x:c r="F5" s="38" t="str">
        <x:v>未開始</x:v>
      </x:c>
      <x:c r="G5" s="38"/>
      <x:c r="H5" s="38"/>
      <x:c r="I5" s="44" t="n">
        <x:v>0</x:v>
      </x:c>
      <x:c r="J5" s="38" t="str"/>
      <x:c r="K5" s="38" t="str"/>
      <x:c r="L5" s="38" t="str"/>
      <x:c r="M5" s="38" t="str"/>
      <x:c r="N5" s="38" t="str"/>
      <x:c r="O5" s="38" t="str"/>
      <x:c r="P5" s="38" t="str"/>
      <x:c r="Q5" s="38" t="str"/>
      <x:c r="R5" s="46"/>
    </x:row>
    <x:row r="6" ht="46" customHeight="1">
      <x:c r="A6" s="38" t="n">
        <x:v>5</x:v>
      </x:c>
      <x:c r="B6" s="38" t="str">
        <x:v>M01 數位探險家：Mac、網路、AI 與安全</x:v>
      </x:c>
      <x:c r="C6" s="38" t="str">
        <x:v>搜尋高手：把大問題拆成好問題</x:v>
      </x:c>
      <x:c r="D6" s="42"/>
      <x:c r="E6" s="42"/>
      <x:c r="F6" s="38" t="str">
        <x:v>未開始</x:v>
      </x:c>
      <x:c r="G6" s="38"/>
      <x:c r="H6" s="38"/>
      <x:c r="I6" s="44" t="n">
        <x:v>0</x:v>
      </x:c>
      <x:c r="J6" s="38" t="str"/>
      <x:c r="K6" s="38" t="str"/>
      <x:c r="L6" s="38" t="str"/>
      <x:c r="M6" s="38" t="str"/>
      <x:c r="N6" s="38" t="str"/>
      <x:c r="O6" s="38" t="str"/>
      <x:c r="P6" s="38" t="str"/>
      <x:c r="Q6" s="38" t="str"/>
      <x:c r="R6" s="46"/>
    </x:row>
    <x:row r="7" ht="46" customHeight="1">
      <x:c r="A7" s="38" t="n">
        <x:v>6</x:v>
      </x:c>
      <x:c r="B7" s="38" t="str">
        <x:v>M01 數位探險家：Mac、網路、AI 與安全</x:v>
      </x:c>
      <x:c r="C7" s="38" t="str">
        <x:v>真真假假：來源與證據偵探</x:v>
      </x:c>
      <x:c r="D7" s="42"/>
      <x:c r="E7" s="42"/>
      <x:c r="F7" s="38" t="str">
        <x:v>未開始</x:v>
      </x:c>
      <x:c r="G7" s="38"/>
      <x:c r="H7" s="38"/>
      <x:c r="I7" s="44" t="n">
        <x:v>0</x:v>
      </x:c>
      <x:c r="J7" s="38" t="str"/>
      <x:c r="K7" s="38" t="str"/>
      <x:c r="L7" s="38" t="str"/>
      <x:c r="M7" s="38" t="str"/>
      <x:c r="N7" s="38" t="str"/>
      <x:c r="O7" s="38" t="str"/>
      <x:c r="P7" s="38" t="str"/>
      <x:c r="Q7" s="38" t="str"/>
      <x:c r="R7" s="46"/>
    </x:row>
    <x:row r="8" ht="46" customHeight="1">
      <x:c r="A8" s="38" t="n">
        <x:v>7</x:v>
      </x:c>
      <x:c r="B8" s="38" t="str">
        <x:v>M01 數位探險家：Mac、網路、AI 與安全</x:v>
      </x:c>
      <x:c r="C8" s="38" t="str">
        <x:v>密碼城堡與雙重驗證</x:v>
      </x:c>
      <x:c r="D8" s="42"/>
      <x:c r="E8" s="42"/>
      <x:c r="F8" s="38" t="str">
        <x:v>未開始</x:v>
      </x:c>
      <x:c r="G8" s="38"/>
      <x:c r="H8" s="38"/>
      <x:c r="I8" s="44" t="n">
        <x:v>0</x:v>
      </x:c>
      <x:c r="J8" s="38" t="str"/>
      <x:c r="K8" s="38" t="str"/>
      <x:c r="L8" s="38" t="str"/>
      <x:c r="M8" s="38" t="str"/>
      <x:c r="N8" s="38" t="str"/>
      <x:c r="O8" s="38" t="str"/>
      <x:c r="P8" s="38" t="str"/>
      <x:c r="Q8" s="38" t="str"/>
      <x:c r="R8" s="46"/>
    </x:row>
    <x:row r="9" ht="46" customHeight="1">
      <x:c r="A9" s="38" t="n">
        <x:v>8</x:v>
      </x:c>
      <x:c r="B9" s="38" t="str">
        <x:v>M01 數位探險家：Mac、網路、AI 與安全</x:v>
      </x:c>
      <x:c r="C9" s="38" t="str">
        <x:v>釣魚郵件偵探社</x:v>
      </x:c>
      <x:c r="D9" s="42"/>
      <x:c r="E9" s="42"/>
      <x:c r="F9" s="38" t="str">
        <x:v>未開始</x:v>
      </x:c>
      <x:c r="G9" s="38"/>
      <x:c r="H9" s="38"/>
      <x:c r="I9" s="44" t="n">
        <x:v>0</x:v>
      </x:c>
      <x:c r="J9" s="38" t="str"/>
      <x:c r="K9" s="38" t="str"/>
      <x:c r="L9" s="38" t="str"/>
      <x:c r="M9" s="38" t="str"/>
      <x:c r="N9" s="38" t="str"/>
      <x:c r="O9" s="38" t="str"/>
      <x:c r="P9" s="38" t="str"/>
      <x:c r="Q9" s="38" t="str"/>
      <x:c r="R9" s="46"/>
    </x:row>
    <x:row r="10" ht="46" customHeight="1">
      <x:c r="A10" s="38" t="n">
        <x:v>9</x:v>
      </x:c>
      <x:c r="B10" s="38" t="str">
        <x:v>M01 數位探險家：Mac、網路、AI 與安全</x:v>
      </x:c>
      <x:c r="C10" s="38" t="str">
        <x:v>個資、照片與數位足跡</x:v>
      </x:c>
      <x:c r="D10" s="42"/>
      <x:c r="E10" s="42"/>
      <x:c r="F10" s="38" t="str">
        <x:v>未開始</x:v>
      </x:c>
      <x:c r="G10" s="38"/>
      <x:c r="H10" s="38"/>
      <x:c r="I10" s="44" t="n">
        <x:v>0</x:v>
      </x:c>
      <x:c r="J10" s="38" t="str"/>
      <x:c r="K10" s="38" t="str"/>
      <x:c r="L10" s="38" t="str"/>
      <x:c r="M10" s="38" t="str"/>
      <x:c r="N10" s="38" t="str"/>
      <x:c r="O10" s="38" t="str"/>
      <x:c r="P10" s="38" t="str"/>
      <x:c r="Q10" s="38" t="str"/>
      <x:c r="R10" s="46"/>
    </x:row>
    <x:row r="11" ht="46" customHeight="1">
      <x:c r="A11" s="38" t="n">
        <x:v>10</x:v>
      </x:c>
      <x:c r="B11" s="38" t="str">
        <x:v>M01 數位探險家：Mac、網路、AI 與安全</x:v>
      </x:c>
      <x:c r="C11" s="38" t="str">
        <x:v>AI 是什麼、不是什麼</x:v>
      </x:c>
      <x:c r="D11" s="42"/>
      <x:c r="E11" s="42"/>
      <x:c r="F11" s="38" t="str">
        <x:v>未開始</x:v>
      </x:c>
      <x:c r="G11" s="38"/>
      <x:c r="H11" s="38"/>
      <x:c r="I11" s="44" t="n">
        <x:v>0</x:v>
      </x:c>
      <x:c r="J11" s="38" t="str"/>
      <x:c r="K11" s="38" t="str"/>
      <x:c r="L11" s="38" t="str"/>
      <x:c r="M11" s="38" t="str"/>
      <x:c r="N11" s="38" t="str"/>
      <x:c r="O11" s="38" t="str"/>
      <x:c r="P11" s="38" t="str"/>
      <x:c r="Q11" s="38" t="str"/>
      <x:c r="R11" s="46"/>
    </x:row>
    <x:row r="12" ht="46" customHeight="1">
      <x:c r="A12" s="38" t="n">
        <x:v>11</x:v>
      </x:c>
      <x:c r="B12" s="38" t="str">
        <x:v>M01 數位探險家：Mac、網路、AI 與安全</x:v>
      </x:c>
      <x:c r="C12" s="38" t="str">
        <x:v>第一個好提示詞：任務、背景、限制、格式</x:v>
      </x:c>
      <x:c r="D12" s="42"/>
      <x:c r="E12" s="42"/>
      <x:c r="F12" s="38" t="str">
        <x:v>未開始</x:v>
      </x:c>
      <x:c r="G12" s="38"/>
      <x:c r="H12" s="38"/>
      <x:c r="I12" s="44" t="n">
        <x:v>0</x:v>
      </x:c>
      <x:c r="J12" s="38" t="str"/>
      <x:c r="K12" s="38" t="str"/>
      <x:c r="L12" s="38" t="str"/>
      <x:c r="M12" s="38" t="str"/>
      <x:c r="N12" s="38" t="str"/>
      <x:c r="O12" s="38" t="str"/>
      <x:c r="P12" s="38" t="str"/>
      <x:c r="Q12" s="38" t="str"/>
      <x:c r="R12" s="46"/>
    </x:row>
    <x:row r="13" ht="46" customHeight="1">
      <x:c r="A13" s="38" t="n">
        <x:v>12</x:v>
      </x:c>
      <x:c r="B13" s="38" t="str">
        <x:v>M01 數位探險家：Mac、網路、AI 與安全</x:v>
      </x:c>
      <x:c r="C13" s="38" t="str">
        <x:v>AI 會亂講：幻覺抓錯賽</x:v>
      </x:c>
      <x:c r="D13" s="42"/>
      <x:c r="E13" s="42"/>
      <x:c r="F13" s="38" t="str">
        <x:v>未開始</x:v>
      </x:c>
      <x:c r="G13" s="38"/>
      <x:c r="H13" s="38"/>
      <x:c r="I13" s="44" t="n">
        <x:v>0</x:v>
      </x:c>
      <x:c r="J13" s="38" t="str"/>
      <x:c r="K13" s="38" t="str"/>
      <x:c r="L13" s="38" t="str"/>
      <x:c r="M13" s="38" t="str"/>
      <x:c r="N13" s="38" t="str"/>
      <x:c r="O13" s="38" t="str"/>
      <x:c r="P13" s="38" t="str"/>
      <x:c r="Q13" s="38" t="str"/>
      <x:c r="R13" s="46"/>
    </x:row>
    <x:row r="14" ht="46" customHeight="1">
      <x:c r="A14" s="38" t="n">
        <x:v>13</x:v>
      </x:c>
      <x:c r="B14" s="38" t="str">
        <x:v>M01 數位探險家：Mac、網路、AI 與安全</x:v>
      </x:c>
      <x:c r="C14" s="38" t="str">
        <x:v>文字、圖片、聲音 AI 體驗站</x:v>
      </x:c>
      <x:c r="D14" s="42"/>
      <x:c r="E14" s="42"/>
      <x:c r="F14" s="38" t="str">
        <x:v>未開始</x:v>
      </x:c>
      <x:c r="G14" s="38"/>
      <x:c r="H14" s="38"/>
      <x:c r="I14" s="44" t="n">
        <x:v>0</x:v>
      </x:c>
      <x:c r="J14" s="38" t="str"/>
      <x:c r="K14" s="38" t="str"/>
      <x:c r="L14" s="38" t="str"/>
      <x:c r="M14" s="38" t="str"/>
      <x:c r="N14" s="38" t="str"/>
      <x:c r="O14" s="38" t="str"/>
      <x:c r="P14" s="38" t="str"/>
      <x:c r="Q14" s="38" t="str"/>
      <x:c r="R14" s="46"/>
    </x:row>
    <x:row r="15" ht="46" customHeight="1">
      <x:c r="A15" s="38" t="n">
        <x:v>14</x:v>
      </x:c>
      <x:c r="B15" s="38" t="str">
        <x:v>M01 數位探險家：Mac、網路、AI 與安全</x:v>
      </x:c>
      <x:c r="C15" s="38" t="str">
        <x:v>我們家的科技公約</x:v>
      </x:c>
      <x:c r="D15" s="42"/>
      <x:c r="E15" s="42"/>
      <x:c r="F15" s="38" t="str">
        <x:v>未開始</x:v>
      </x:c>
      <x:c r="G15" s="38"/>
      <x:c r="H15" s="38"/>
      <x:c r="I15" s="44" t="n">
        <x:v>0</x:v>
      </x:c>
      <x:c r="J15" s="38" t="str"/>
      <x:c r="K15" s="38" t="str"/>
      <x:c r="L15" s="38" t="str"/>
      <x:c r="M15" s="38" t="str"/>
      <x:c r="N15" s="38" t="str"/>
      <x:c r="O15" s="38" t="str"/>
      <x:c r="P15" s="38" t="str"/>
      <x:c r="Q15" s="38" t="str"/>
      <x:c r="R15" s="46"/>
    </x:row>
    <x:row r="16" ht="46" customHeight="1">
      <x:c r="A16" s="38" t="n">
        <x:v>15</x:v>
      </x:c>
      <x:c r="B16" s="38" t="str">
        <x:v>M01 數位探險家：Mac、網路、AI 與安全</x:v>
      </x:c>
      <x:c r="C16" s="38" t="str">
        <x:v>迷你專案：數位安全逃脫室</x:v>
      </x:c>
      <x:c r="D16" s="42"/>
      <x:c r="E16" s="42"/>
      <x:c r="F16" s="38" t="str">
        <x:v>未開始</x:v>
      </x:c>
      <x:c r="G16" s="38"/>
      <x:c r="H16" s="38"/>
      <x:c r="I16" s="44" t="n">
        <x:v>0</x:v>
      </x:c>
      <x:c r="J16" s="38" t="str"/>
      <x:c r="K16" s="38" t="str"/>
      <x:c r="L16" s="38" t="str"/>
      <x:c r="M16" s="38" t="str"/>
      <x:c r="N16" s="38" t="str"/>
      <x:c r="O16" s="38" t="str"/>
      <x:c r="P16" s="38" t="str"/>
      <x:c r="Q16" s="38" t="str"/>
      <x:c r="R16" s="46"/>
    </x:row>
    <x:row r="17" ht="46" customHeight="1">
      <x:c r="A17" s="38" t="n">
        <x:v>16</x:v>
      </x:c>
      <x:c r="B17" s="38" t="str">
        <x:v>M01 數位探險家：Mac、網路、AI 與安全</x:v>
      </x:c>
      <x:c r="C17" s="38" t="str">
        <x:v>成果發表：我的數位公民手冊</x:v>
      </x:c>
      <x:c r="D17" s="42"/>
      <x:c r="E17" s="42"/>
      <x:c r="F17" s="38" t="str">
        <x:v>未開始</x:v>
      </x:c>
      <x:c r="G17" s="38"/>
      <x:c r="H17" s="38"/>
      <x:c r="I17" s="44" t="n">
        <x:v>0</x:v>
      </x:c>
      <x:c r="J17" s="38" t="str"/>
      <x:c r="K17" s="38" t="str"/>
      <x:c r="L17" s="38" t="str"/>
      <x:c r="M17" s="38" t="str"/>
      <x:c r="N17" s="38" t="str"/>
      <x:c r="O17" s="38" t="str"/>
      <x:c r="P17" s="38" t="str"/>
      <x:c r="Q17" s="38" t="str"/>
      <x:c r="R17" s="46"/>
    </x:row>
    <x:row r="18" ht="46" customHeight="1">
      <x:c r="A18" s="38" t="n">
        <x:v>17</x:v>
      </x:c>
      <x:c r="B18" s="38" t="str">
        <x:v>M02 Scratch 創意遊戲與計算思維</x:v>
      </x:c>
      <x:c r="C18" s="38" t="str">
        <x:v>角色真的動起來了</x:v>
      </x:c>
      <x:c r="D18" s="42"/>
      <x:c r="E18" s="42"/>
      <x:c r="F18" s="38" t="str">
        <x:v>未開始</x:v>
      </x:c>
      <x:c r="G18" s="38"/>
      <x:c r="H18" s="38"/>
      <x:c r="I18" s="44" t="n">
        <x:v>0</x:v>
      </x:c>
      <x:c r="J18" s="38" t="str"/>
      <x:c r="K18" s="38" t="str"/>
      <x:c r="L18" s="38" t="str"/>
      <x:c r="M18" s="38" t="str"/>
      <x:c r="N18" s="38" t="str"/>
      <x:c r="O18" s="38" t="str"/>
      <x:c r="P18" s="38" t="str"/>
      <x:c r="Q18" s="38" t="str"/>
      <x:c r="R18" s="46"/>
    </x:row>
    <x:row r="19" ht="46" customHeight="1">
      <x:c r="A19" s="38" t="n">
        <x:v>18</x:v>
      </x:c>
      <x:c r="B19" s="38" t="str">
        <x:v>M02 Scratch 創意遊戲與計算思維</x:v>
      </x:c>
      <x:c r="C19" s="38" t="str">
        <x:v>事件：誰先按下開始鍵</x:v>
      </x:c>
      <x:c r="D19" s="42"/>
      <x:c r="E19" s="42"/>
      <x:c r="F19" s="38" t="str">
        <x:v>未開始</x:v>
      </x:c>
      <x:c r="G19" s="38"/>
      <x:c r="H19" s="38"/>
      <x:c r="I19" s="44" t="n">
        <x:v>0</x:v>
      </x:c>
      <x:c r="J19" s="38" t="str"/>
      <x:c r="K19" s="38" t="str"/>
      <x:c r="L19" s="38" t="str"/>
      <x:c r="M19" s="38" t="str"/>
      <x:c r="N19" s="38" t="str"/>
      <x:c r="O19" s="38" t="str"/>
      <x:c r="P19" s="38" t="str"/>
      <x:c r="Q19" s="38" t="str"/>
      <x:c r="R19" s="46"/>
    </x:row>
    <x:row r="20" ht="46" customHeight="1">
      <x:c r="A20" s="38" t="n">
        <x:v>19</x:v>
      </x:c>
      <x:c r="B20" s="38" t="str">
        <x:v>M02 Scratch 創意遊戲與計算思維</x:v>
      </x:c>
      <x:c r="C20" s="38" t="str">
        <x:v>迴圈舞蹈機器人</x:v>
      </x:c>
      <x:c r="D20" s="42"/>
      <x:c r="E20" s="42"/>
      <x:c r="F20" s="38" t="str">
        <x:v>未開始</x:v>
      </x:c>
      <x:c r="G20" s="38"/>
      <x:c r="H20" s="38"/>
      <x:c r="I20" s="44" t="n">
        <x:v>0</x:v>
      </x:c>
      <x:c r="J20" s="38" t="str"/>
      <x:c r="K20" s="38" t="str"/>
      <x:c r="L20" s="38" t="str"/>
      <x:c r="M20" s="38" t="str"/>
      <x:c r="N20" s="38" t="str"/>
      <x:c r="O20" s="38" t="str"/>
      <x:c r="P20" s="38" t="str"/>
      <x:c r="Q20" s="38" t="str"/>
      <x:c r="R20" s="46"/>
    </x:row>
    <x:row r="21" ht="46" customHeight="1">
      <x:c r="A21" s="38" t="n">
        <x:v>20</x:v>
      </x:c>
      <x:c r="B21" s="38" t="str">
        <x:v>M02 Scratch 創意遊戲與計算思維</x:v>
      </x:c>
      <x:c r="C21" s="38" t="str">
        <x:v>條件判斷迷宮</x:v>
      </x:c>
      <x:c r="D21" s="42"/>
      <x:c r="E21" s="42"/>
      <x:c r="F21" s="38" t="str">
        <x:v>未開始</x:v>
      </x:c>
      <x:c r="G21" s="38"/>
      <x:c r="H21" s="38"/>
      <x:c r="I21" s="44" t="n">
        <x:v>0</x:v>
      </x:c>
      <x:c r="J21" s="38" t="str"/>
      <x:c r="K21" s="38" t="str"/>
      <x:c r="L21" s="38" t="str"/>
      <x:c r="M21" s="38" t="str"/>
      <x:c r="N21" s="38" t="str"/>
      <x:c r="O21" s="38" t="str"/>
      <x:c r="P21" s="38" t="str"/>
      <x:c r="Q21" s="38" t="str"/>
      <x:c r="R21" s="46"/>
    </x:row>
    <x:row r="22" ht="46" customHeight="1">
      <x:c r="A22" s="38" t="n">
        <x:v>21</x:v>
      </x:c>
      <x:c r="B22" s="38" t="str">
        <x:v>M02 Scratch 創意遊戲與計算思維</x:v>
      </x:c>
      <x:c r="C22" s="38" t="str">
        <x:v>變數：分數、血量與時間</x:v>
      </x:c>
      <x:c r="D22" s="42"/>
      <x:c r="E22" s="42"/>
      <x:c r="F22" s="38" t="str">
        <x:v>未開始</x:v>
      </x:c>
      <x:c r="G22" s="38"/>
      <x:c r="H22" s="38"/>
      <x:c r="I22" s="44" t="n">
        <x:v>0</x:v>
      </x:c>
      <x:c r="J22" s="38" t="str"/>
      <x:c r="K22" s="38" t="str"/>
      <x:c r="L22" s="38" t="str"/>
      <x:c r="M22" s="38" t="str"/>
      <x:c r="N22" s="38" t="str"/>
      <x:c r="O22" s="38" t="str"/>
      <x:c r="P22" s="38" t="str"/>
      <x:c r="Q22" s="38" t="str"/>
      <x:c r="R22" s="46"/>
    </x:row>
    <x:row r="23" ht="46" customHeight="1">
      <x:c r="A23" s="38" t="n">
        <x:v>22</x:v>
      </x:c>
      <x:c r="B23" s="38" t="str">
        <x:v>M02 Scratch 創意遊戲與計算思維</x:v>
      </x:c>
      <x:c r="C23" s="38" t="str">
        <x:v>隨機數與機率怪獸</x:v>
      </x:c>
      <x:c r="D23" s="42"/>
      <x:c r="E23" s="42"/>
      <x:c r="F23" s="38" t="str">
        <x:v>未開始</x:v>
      </x:c>
      <x:c r="G23" s="38"/>
      <x:c r="H23" s="38"/>
      <x:c r="I23" s="44" t="n">
        <x:v>0</x:v>
      </x:c>
      <x:c r="J23" s="38" t="str"/>
      <x:c r="K23" s="38" t="str"/>
      <x:c r="L23" s="38" t="str"/>
      <x:c r="M23" s="38" t="str"/>
      <x:c r="N23" s="38" t="str"/>
      <x:c r="O23" s="38" t="str"/>
      <x:c r="P23" s="38" t="str"/>
      <x:c r="Q23" s="38" t="str"/>
      <x:c r="R23" s="46"/>
    </x:row>
    <x:row r="24" ht="46" customHeight="1">
      <x:c r="A24" s="38" t="n">
        <x:v>23</x:v>
      </x:c>
      <x:c r="B24" s="38" t="str">
        <x:v>M02 Scratch 創意遊戲與計算思維</x:v>
      </x:c>
      <x:c r="C24" s="38" t="str">
        <x:v>廣播訊息：角色怎麼合作</x:v>
      </x:c>
      <x:c r="D24" s="42"/>
      <x:c r="E24" s="42"/>
      <x:c r="F24" s="38" t="str">
        <x:v>未開始</x:v>
      </x:c>
      <x:c r="G24" s="38"/>
      <x:c r="H24" s="38"/>
      <x:c r="I24" s="44" t="n">
        <x:v>0</x:v>
      </x:c>
      <x:c r="J24" s="38" t="str"/>
      <x:c r="K24" s="38" t="str"/>
      <x:c r="L24" s="38" t="str"/>
      <x:c r="M24" s="38" t="str"/>
      <x:c r="N24" s="38" t="str"/>
      <x:c r="O24" s="38" t="str"/>
      <x:c r="P24" s="38" t="str"/>
      <x:c r="Q24" s="38" t="str"/>
      <x:c r="R24" s="46"/>
    </x:row>
    <x:row r="25" ht="46" customHeight="1">
      <x:c r="A25" s="38" t="n">
        <x:v>24</x:v>
      </x:c>
      <x:c r="B25" s="38" t="str">
        <x:v>M02 Scratch 創意遊戲與計算思維</x:v>
      </x:c>
      <x:c r="C25" s="38" t="str">
        <x:v>分身軍團</x:v>
      </x:c>
      <x:c r="D25" s="42"/>
      <x:c r="E25" s="42"/>
      <x:c r="F25" s="38" t="str">
        <x:v>未開始</x:v>
      </x:c>
      <x:c r="G25" s="38"/>
      <x:c r="H25" s="38"/>
      <x:c r="I25" s="44" t="n">
        <x:v>0</x:v>
      </x:c>
      <x:c r="J25" s="38" t="str"/>
      <x:c r="K25" s="38" t="str"/>
      <x:c r="L25" s="38" t="str"/>
      <x:c r="M25" s="38" t="str"/>
      <x:c r="N25" s="38" t="str"/>
      <x:c r="O25" s="38" t="str"/>
      <x:c r="P25" s="38" t="str"/>
      <x:c r="Q25" s="38" t="str"/>
      <x:c r="R25" s="46"/>
    </x:row>
    <x:row r="26" ht="46" customHeight="1">
      <x:c r="A26" s="38" t="n">
        <x:v>25</x:v>
      </x:c>
      <x:c r="B26" s="38" t="str">
        <x:v>M02 Scratch 創意遊戲與計算思維</x:v>
      </x:c>
      <x:c r="C26" s="38" t="str">
        <x:v>座標、方向與碰撞</x:v>
      </x:c>
      <x:c r="D26" s="42"/>
      <x:c r="E26" s="42"/>
      <x:c r="F26" s="38" t="str">
        <x:v>未開始</x:v>
      </x:c>
      <x:c r="G26" s="38"/>
      <x:c r="H26" s="38"/>
      <x:c r="I26" s="44" t="n">
        <x:v>0</x:v>
      </x:c>
      <x:c r="J26" s="38" t="str"/>
      <x:c r="K26" s="38" t="str"/>
      <x:c r="L26" s="38" t="str"/>
      <x:c r="M26" s="38" t="str"/>
      <x:c r="N26" s="38" t="str"/>
      <x:c r="O26" s="38" t="str"/>
      <x:c r="P26" s="38" t="str"/>
      <x:c r="Q26" s="38" t="str"/>
      <x:c r="R26" s="46"/>
    </x:row>
    <x:row r="27" ht="46" customHeight="1">
      <x:c r="A27" s="38" t="n">
        <x:v>26</x:v>
      </x:c>
      <x:c r="B27" s="38" t="str">
        <x:v>M02 Scratch 創意遊戲與計算思維</x:v>
      </x:c>
      <x:c r="C27" s="38" t="str">
        <x:v>音效與節奏：用程式作曲</x:v>
      </x:c>
      <x:c r="D27" s="42"/>
      <x:c r="E27" s="42"/>
      <x:c r="F27" s="38" t="str">
        <x:v>未開始</x:v>
      </x:c>
      <x:c r="G27" s="38"/>
      <x:c r="H27" s="38"/>
      <x:c r="I27" s="44" t="n">
        <x:v>0</x:v>
      </x:c>
      <x:c r="J27" s="38" t="str"/>
      <x:c r="K27" s="38" t="str"/>
      <x:c r="L27" s="38" t="str"/>
      <x:c r="M27" s="38" t="str"/>
      <x:c r="N27" s="38" t="str"/>
      <x:c r="O27" s="38" t="str"/>
      <x:c r="P27" s="38" t="str"/>
      <x:c r="Q27" s="38" t="str"/>
      <x:c r="R27" s="46"/>
    </x:row>
    <x:row r="28" ht="46" customHeight="1">
      <x:c r="A28" s="38" t="n">
        <x:v>27</x:v>
      </x:c>
      <x:c r="B28" s="38" t="str">
        <x:v>M02 Scratch 創意遊戲與計算思維</x:v>
      </x:c>
      <x:c r="C28" s="38" t="str">
        <x:v>互動故事與分鏡</x:v>
      </x:c>
      <x:c r="D28" s="42"/>
      <x:c r="E28" s="42"/>
      <x:c r="F28" s="38" t="str">
        <x:v>未開始</x:v>
      </x:c>
      <x:c r="G28" s="38"/>
      <x:c r="H28" s="38"/>
      <x:c r="I28" s="44" t="n">
        <x:v>0</x:v>
      </x:c>
      <x:c r="J28" s="38" t="str"/>
      <x:c r="K28" s="38" t="str"/>
      <x:c r="L28" s="38" t="str"/>
      <x:c r="M28" s="38" t="str"/>
      <x:c r="N28" s="38" t="str"/>
      <x:c r="O28" s="38" t="str"/>
      <x:c r="P28" s="38" t="str"/>
      <x:c r="Q28" s="38" t="str"/>
      <x:c r="R28" s="46"/>
    </x:row>
    <x:row r="29" ht="46" customHeight="1">
      <x:c r="A29" s="38" t="n">
        <x:v>28</x:v>
      </x:c>
      <x:c r="B29" s="38" t="str">
        <x:v>M02 Scratch 創意遊戲與計算思維</x:v>
      </x:c>
      <x:c r="C29" s="38" t="str">
        <x:v>除錯偵探：找出五隻 Bug</x:v>
      </x:c>
      <x:c r="D29" s="42"/>
      <x:c r="E29" s="42"/>
      <x:c r="F29" s="38" t="str">
        <x:v>未開始</x:v>
      </x:c>
      <x:c r="G29" s="38"/>
      <x:c r="H29" s="38"/>
      <x:c r="I29" s="44" t="n">
        <x:v>0</x:v>
      </x:c>
      <x:c r="J29" s="38" t="str"/>
      <x:c r="K29" s="38" t="str"/>
      <x:c r="L29" s="38" t="str"/>
      <x:c r="M29" s="38" t="str"/>
      <x:c r="N29" s="38" t="str"/>
      <x:c r="O29" s="38" t="str"/>
      <x:c r="P29" s="38" t="str"/>
      <x:c r="Q29" s="38" t="str"/>
      <x:c r="R29" s="46"/>
    </x:row>
    <x:row r="30" ht="46" customHeight="1">
      <x:c r="A30" s="38" t="n">
        <x:v>29</x:v>
      </x:c>
      <x:c r="B30" s="38" t="str">
        <x:v>M02 Scratch 創意遊戲與計算思維</x:v>
      </x:c>
      <x:c r="C30" s="38" t="str">
        <x:v>遊戲設計：先用紙玩</x:v>
      </x:c>
      <x:c r="D30" s="42"/>
      <x:c r="E30" s="42"/>
      <x:c r="F30" s="38" t="str">
        <x:v>未開始</x:v>
      </x:c>
      <x:c r="G30" s="38"/>
      <x:c r="H30" s="38"/>
      <x:c r="I30" s="44" t="n">
        <x:v>0</x:v>
      </x:c>
      <x:c r="J30" s="38" t="str"/>
      <x:c r="K30" s="38" t="str"/>
      <x:c r="L30" s="38" t="str"/>
      <x:c r="M30" s="38" t="str"/>
      <x:c r="N30" s="38" t="str"/>
      <x:c r="O30" s="38" t="str"/>
      <x:c r="P30" s="38" t="str"/>
      <x:c r="Q30" s="38" t="str"/>
      <x:c r="R30" s="46"/>
    </x:row>
    <x:row r="31" ht="46" customHeight="1">
      <x:c r="A31" s="38" t="n">
        <x:v>30</x:v>
      </x:c>
      <x:c r="B31" s="38" t="str">
        <x:v>M02 Scratch 創意遊戲與計算思維</x:v>
      </x:c>
      <x:c r="C31" s="38" t="str">
        <x:v>原創遊戲 Alpha：核心玩法</x:v>
      </x:c>
      <x:c r="D31" s="42"/>
      <x:c r="E31" s="42"/>
      <x:c r="F31" s="38" t="str">
        <x:v>未開始</x:v>
      </x:c>
      <x:c r="G31" s="38"/>
      <x:c r="H31" s="38"/>
      <x:c r="I31" s="44" t="n">
        <x:v>0</x:v>
      </x:c>
      <x:c r="J31" s="38" t="str"/>
      <x:c r="K31" s="38" t="str"/>
      <x:c r="L31" s="38" t="str"/>
      <x:c r="M31" s="38" t="str"/>
      <x:c r="N31" s="38" t="str"/>
      <x:c r="O31" s="38" t="str"/>
      <x:c r="P31" s="38" t="str"/>
      <x:c r="Q31" s="38" t="str"/>
      <x:c r="R31" s="46"/>
    </x:row>
    <x:row r="32" ht="46" customHeight="1">
      <x:c r="A32" s="38" t="n">
        <x:v>31</x:v>
      </x:c>
      <x:c r="B32" s="38" t="str">
        <x:v>M02 Scratch 創意遊戲與計算思維</x:v>
      </x:c>
      <x:c r="C32" s="38" t="str">
        <x:v>玩家測試與改版</x:v>
      </x:c>
      <x:c r="D32" s="42"/>
      <x:c r="E32" s="42"/>
      <x:c r="F32" s="38" t="str">
        <x:v>未開始</x:v>
      </x:c>
      <x:c r="G32" s="38"/>
      <x:c r="H32" s="38"/>
      <x:c r="I32" s="44" t="n">
        <x:v>0</x:v>
      </x:c>
      <x:c r="J32" s="38" t="str"/>
      <x:c r="K32" s="38" t="str"/>
      <x:c r="L32" s="38" t="str"/>
      <x:c r="M32" s="38" t="str"/>
      <x:c r="N32" s="38" t="str"/>
      <x:c r="O32" s="38" t="str"/>
      <x:c r="P32" s="38" t="str"/>
      <x:c r="Q32" s="38" t="str"/>
      <x:c r="R32" s="46"/>
    </x:row>
    <x:row r="33" ht="46" customHeight="1">
      <x:c r="A33" s="38" t="n">
        <x:v>32</x:v>
      </x:c>
      <x:c r="B33" s="38" t="str">
        <x:v>M02 Scratch 創意遊戲與計算思維</x:v>
      </x:c>
      <x:c r="C33" s="38" t="str">
        <x:v>Scratch 遊戲展</x:v>
      </x:c>
      <x:c r="D33" s="42"/>
      <x:c r="E33" s="42"/>
      <x:c r="F33" s="38" t="str">
        <x:v>未開始</x:v>
      </x:c>
      <x:c r="G33" s="38"/>
      <x:c r="H33" s="38"/>
      <x:c r="I33" s="44" t="n">
        <x:v>0</x:v>
      </x:c>
      <x:c r="J33" s="38" t="str"/>
      <x:c r="K33" s="38" t="str"/>
      <x:c r="L33" s="38" t="str"/>
      <x:c r="M33" s="38" t="str"/>
      <x:c r="N33" s="38" t="str"/>
      <x:c r="O33" s="38" t="str"/>
      <x:c r="P33" s="38" t="str"/>
      <x:c r="Q33" s="38" t="str"/>
      <x:c r="R33" s="46"/>
    </x:row>
    <x:row r="34" ht="46" customHeight="1">
      <x:c r="A34" s="38" t="n">
        <x:v>33</x:v>
      </x:c>
      <x:c r="B34" s="38" t="str">
        <x:v>M03 AI 創作與 YouTube 媒體工坊</x:v>
      </x:c>
      <x:c r="C34" s="38" t="str">
        <x:v>AI 圖像提示詞：主角、場景、動作與構圖</x:v>
      </x:c>
      <x:c r="D34" s="42"/>
      <x:c r="E34" s="42"/>
      <x:c r="F34" s="38" t="str">
        <x:v>未開始</x:v>
      </x:c>
      <x:c r="G34" s="38"/>
      <x:c r="H34" s="38"/>
      <x:c r="I34" s="44" t="n">
        <x:v>0</x:v>
      </x:c>
      <x:c r="J34" s="38" t="str"/>
      <x:c r="K34" s="38" t="str"/>
      <x:c r="L34" s="38" t="str"/>
      <x:c r="M34" s="38" t="str"/>
      <x:c r="N34" s="38" t="str"/>
      <x:c r="O34" s="38" t="str"/>
      <x:c r="P34" s="38" t="str"/>
      <x:c r="Q34" s="38" t="str"/>
      <x:c r="R34" s="46"/>
    </x:row>
    <x:row r="35" ht="46" customHeight="1">
      <x:c r="A35" s="38" t="n">
        <x:v>34</x:v>
      </x:c>
      <x:c r="B35" s="38" t="str">
        <x:v>M03 AI 創作與 YouTube 媒體工坊</x:v>
      </x:c>
      <x:c r="C35" s="38" t="str">
        <x:v>著作權、引用與『我真的能用嗎』</x:v>
      </x:c>
      <x:c r="D35" s="42"/>
      <x:c r="E35" s="42"/>
      <x:c r="F35" s="38" t="str">
        <x:v>未開始</x:v>
      </x:c>
      <x:c r="G35" s="38"/>
      <x:c r="H35" s="38"/>
      <x:c r="I35" s="44" t="n">
        <x:v>0</x:v>
      </x:c>
      <x:c r="J35" s="38" t="str"/>
      <x:c r="K35" s="38" t="str"/>
      <x:c r="L35" s="38" t="str"/>
      <x:c r="M35" s="38" t="str"/>
      <x:c r="N35" s="38" t="str"/>
      <x:c r="O35" s="38" t="str"/>
      <x:c r="P35" s="38" t="str"/>
      <x:c r="Q35" s="38" t="str"/>
      <x:c r="R35" s="46"/>
    </x:row>
    <x:row r="36" ht="46" customHeight="1">
      <x:c r="A36" s="38" t="n">
        <x:v>35</x:v>
      </x:c>
      <x:c r="B36" s="38" t="str">
        <x:v>M03 AI 創作與 YouTube 媒體工坊</x:v>
      </x:c>
      <x:c r="C36" s="38" t="str">
        <x:v>AI 幫忙想故事，但人類當導演</x:v>
      </x:c>
      <x:c r="D36" s="42"/>
      <x:c r="E36" s="42"/>
      <x:c r="F36" s="38" t="str">
        <x:v>未開始</x:v>
      </x:c>
      <x:c r="G36" s="38"/>
      <x:c r="H36" s="38"/>
      <x:c r="I36" s="44" t="n">
        <x:v>0</x:v>
      </x:c>
      <x:c r="J36" s="38" t="str"/>
      <x:c r="K36" s="38" t="str"/>
      <x:c r="L36" s="38" t="str"/>
      <x:c r="M36" s="38" t="str"/>
      <x:c r="N36" s="38" t="str"/>
      <x:c r="O36" s="38" t="str"/>
      <x:c r="P36" s="38" t="str"/>
      <x:c r="Q36" s="38" t="str"/>
      <x:c r="R36" s="46"/>
    </x:row>
    <x:row r="37" ht="46" customHeight="1">
      <x:c r="A37" s="38" t="n">
        <x:v>36</x:v>
      </x:c>
      <x:c r="B37" s="38" t="str">
        <x:v>M03 AI 創作與 YouTube 媒體工坊</x:v>
      </x:c>
      <x:c r="C37" s="38" t="str">
        <x:v>角色設定與世界觀聖經</x:v>
      </x:c>
      <x:c r="D37" s="42"/>
      <x:c r="E37" s="42"/>
      <x:c r="F37" s="38" t="str">
        <x:v>未開始</x:v>
      </x:c>
      <x:c r="G37" s="38"/>
      <x:c r="H37" s="38"/>
      <x:c r="I37" s="44" t="n">
        <x:v>0</x:v>
      </x:c>
      <x:c r="J37" s="38" t="str"/>
      <x:c r="K37" s="38" t="str"/>
      <x:c r="L37" s="38" t="str"/>
      <x:c r="M37" s="38" t="str"/>
      <x:c r="N37" s="38" t="str"/>
      <x:c r="O37" s="38" t="str"/>
      <x:c r="P37" s="38" t="str"/>
      <x:c r="Q37" s="38" t="str"/>
      <x:c r="R37" s="46"/>
    </x:row>
    <x:row r="38" ht="46" customHeight="1">
      <x:c r="A38" s="38" t="n">
        <x:v>37</x:v>
      </x:c>
      <x:c r="B38" s="38" t="str">
        <x:v>M03 AI 創作與 YouTube 媒體工坊</x:v>
      </x:c>
      <x:c r="C38" s="38" t="str">
        <x:v>好聲音：距離、噪音、情緒與停頓</x:v>
      </x:c>
      <x:c r="D38" s="42"/>
      <x:c r="E38" s="42"/>
      <x:c r="F38" s="38" t="str">
        <x:v>未開始</x:v>
      </x:c>
      <x:c r="G38" s="38"/>
      <x:c r="H38" s="38"/>
      <x:c r="I38" s="44" t="n">
        <x:v>0</x:v>
      </x:c>
      <x:c r="J38" s="38" t="str"/>
      <x:c r="K38" s="38" t="str"/>
      <x:c r="L38" s="38" t="str"/>
      <x:c r="M38" s="38" t="str"/>
      <x:c r="N38" s="38" t="str"/>
      <x:c r="O38" s="38" t="str"/>
      <x:c r="P38" s="38" t="str"/>
      <x:c r="Q38" s="38" t="str"/>
      <x:c r="R38" s="46"/>
    </x:row>
    <x:row r="39" ht="46" customHeight="1">
      <x:c r="A39" s="38" t="n">
        <x:v>38</x:v>
      </x:c>
      <x:c r="B39" s="38" t="str">
        <x:v>M03 AI 創作與 YouTube 媒體工坊</x:v>
      </x:c>
      <x:c r="C39" s="38" t="str">
        <x:v>錄音轉文字：機器聽懂了多少</x:v>
      </x:c>
      <x:c r="D39" s="42"/>
      <x:c r="E39" s="42"/>
      <x:c r="F39" s="38" t="str">
        <x:v>未開始</x:v>
      </x:c>
      <x:c r="G39" s="38"/>
      <x:c r="H39" s="38"/>
      <x:c r="I39" s="44" t="n">
        <x:v>0</x:v>
      </x:c>
      <x:c r="J39" s="38" t="str"/>
      <x:c r="K39" s="38" t="str"/>
      <x:c r="L39" s="38" t="str"/>
      <x:c r="M39" s="38" t="str"/>
      <x:c r="N39" s="38" t="str"/>
      <x:c r="O39" s="38" t="str"/>
      <x:c r="P39" s="38" t="str"/>
      <x:c r="Q39" s="38" t="str"/>
      <x:c r="R39" s="46"/>
    </x:row>
    <x:row r="40" ht="46" customHeight="1">
      <x:c r="A40" s="38" t="n">
        <x:v>39</x:v>
      </x:c>
      <x:c r="B40" s="38" t="str">
        <x:v>M03 AI 創作與 YouTube 媒體工坊</x:v>
      </x:c>
      <x:c r="C40" s="38" t="str">
        <x:v>把口語整理成能讀的文字稿</x:v>
      </x:c>
      <x:c r="D40" s="42"/>
      <x:c r="E40" s="42"/>
      <x:c r="F40" s="38" t="str">
        <x:v>未開始</x:v>
      </x:c>
      <x:c r="G40" s="38"/>
      <x:c r="H40" s="38"/>
      <x:c r="I40" s="44" t="n">
        <x:v>0</x:v>
      </x:c>
      <x:c r="J40" s="38" t="str"/>
      <x:c r="K40" s="38" t="str"/>
      <x:c r="L40" s="38" t="str"/>
      <x:c r="M40" s="38" t="str"/>
      <x:c r="N40" s="38" t="str"/>
      <x:c r="O40" s="38" t="str"/>
      <x:c r="P40" s="38" t="str"/>
      <x:c r="Q40" s="38" t="str"/>
      <x:c r="R40" s="46"/>
    </x:row>
    <x:row r="41" ht="46" customHeight="1">
      <x:c r="A41" s="38" t="n">
        <x:v>40</x:v>
      </x:c>
      <x:c r="B41" s="38" t="str">
        <x:v>M03 AI 創作與 YouTube 媒體工坊</x:v>
      </x:c>
      <x:c r="C41" s="38" t="str">
        <x:v>簡報不是逐字稿：一頁只講一件事</x:v>
      </x:c>
      <x:c r="D41" s="42"/>
      <x:c r="E41" s="42"/>
      <x:c r="F41" s="38" t="str">
        <x:v>未開始</x:v>
      </x:c>
      <x:c r="G41" s="38"/>
      <x:c r="H41" s="38"/>
      <x:c r="I41" s="44" t="n">
        <x:v>0</x:v>
      </x:c>
      <x:c r="J41" s="38" t="str"/>
      <x:c r="K41" s="38" t="str"/>
      <x:c r="L41" s="38" t="str"/>
      <x:c r="M41" s="38" t="str"/>
      <x:c r="N41" s="38" t="str"/>
      <x:c r="O41" s="38" t="str"/>
      <x:c r="P41" s="38" t="str"/>
      <x:c r="Q41" s="38" t="str"/>
      <x:c r="R41" s="46"/>
    </x:row>
    <x:row r="42" ht="46" customHeight="1">
      <x:c r="A42" s="38" t="n">
        <x:v>41</x:v>
      </x:c>
      <x:c r="B42" s="38" t="str">
        <x:v>M03 AI 創作與 YouTube 媒體工坊</x:v>
      </x:c>
      <x:c r="C42" s="38" t="str">
        <x:v>PPT 視覺：字體、對齊、留白與圖解</x:v>
      </x:c>
      <x:c r="D42" s="42"/>
      <x:c r="E42" s="42"/>
      <x:c r="F42" s="38" t="str">
        <x:v>未開始</x:v>
      </x:c>
      <x:c r="G42" s="38"/>
      <x:c r="H42" s="38"/>
      <x:c r="I42" s="44" t="n">
        <x:v>0</x:v>
      </x:c>
      <x:c r="J42" s="38" t="str"/>
      <x:c r="K42" s="38" t="str"/>
      <x:c r="L42" s="38" t="str"/>
      <x:c r="M42" s="38" t="str"/>
      <x:c r="N42" s="38" t="str"/>
      <x:c r="O42" s="38" t="str"/>
      <x:c r="P42" s="38" t="str"/>
      <x:c r="Q42" s="38" t="str"/>
      <x:c r="R42" s="46"/>
    </x:row>
    <x:row r="43" ht="46" customHeight="1">
      <x:c r="A43" s="38" t="n">
        <x:v>42</x:v>
      </x:c>
      <x:c r="B43" s="38" t="str">
        <x:v>M03 AI 創作與 YouTube 媒體工坊</x:v>
      </x:c>
      <x:c r="C43" s="38" t="str">
        <x:v>TTS 配音：自然、停頓、專有名詞</x:v>
      </x:c>
      <x:c r="D43" s="42"/>
      <x:c r="E43" s="42"/>
      <x:c r="F43" s="38" t="str">
        <x:v>未開始</x:v>
      </x:c>
      <x:c r="G43" s="38"/>
      <x:c r="H43" s="38"/>
      <x:c r="I43" s="44" t="n">
        <x:v>0</x:v>
      </x:c>
      <x:c r="J43" s="38" t="str"/>
      <x:c r="K43" s="38" t="str"/>
      <x:c r="L43" s="38" t="str"/>
      <x:c r="M43" s="38" t="str"/>
      <x:c r="N43" s="38" t="str"/>
      <x:c r="O43" s="38" t="str"/>
      <x:c r="P43" s="38" t="str"/>
      <x:c r="Q43" s="38" t="str"/>
      <x:c r="R43" s="46"/>
    </x:row>
    <x:row r="44" ht="46" customHeight="1">
      <x:c r="A44" s="38" t="n">
        <x:v>43</x:v>
      </x:c>
      <x:c r="B44" s="38" t="str">
        <x:v>M03 AI 創作與 YouTube 媒體工坊</x:v>
      </x:c>
      <x:c r="C44" s="38" t="str">
        <x:v>剪輯節奏：畫面為什麼要換</x:v>
      </x:c>
      <x:c r="D44" s="42"/>
      <x:c r="E44" s="42"/>
      <x:c r="F44" s="38" t="str">
        <x:v>未開始</x:v>
      </x:c>
      <x:c r="G44" s="38"/>
      <x:c r="H44" s="38"/>
      <x:c r="I44" s="44" t="n">
        <x:v>0</x:v>
      </x:c>
      <x:c r="J44" s="38" t="str"/>
      <x:c r="K44" s="38" t="str"/>
      <x:c r="L44" s="38" t="str"/>
      <x:c r="M44" s="38" t="str"/>
      <x:c r="N44" s="38" t="str"/>
      <x:c r="O44" s="38" t="str"/>
      <x:c r="P44" s="38" t="str"/>
      <x:c r="Q44" s="38" t="str"/>
      <x:c r="R44" s="46"/>
    </x:row>
    <x:row r="45" ht="46" customHeight="1">
      <x:c r="A45" s="38" t="n">
        <x:v>44</x:v>
      </x:c>
      <x:c r="B45" s="38" t="str">
        <x:v>M03 AI 創作與 YouTube 媒體工坊</x:v>
      </x:c>
      <x:c r="C45" s="38" t="str">
        <x:v>縮圖與標題：吸引但不欺騙</x:v>
      </x:c>
      <x:c r="D45" s="42"/>
      <x:c r="E45" s="42"/>
      <x:c r="F45" s="38" t="str">
        <x:v>未開始</x:v>
      </x:c>
      <x:c r="G45" s="38"/>
      <x:c r="H45" s="38"/>
      <x:c r="I45" s="44" t="n">
        <x:v>0</x:v>
      </x:c>
      <x:c r="J45" s="38" t="str"/>
      <x:c r="K45" s="38" t="str"/>
      <x:c r="L45" s="38" t="str"/>
      <x:c r="M45" s="38" t="str"/>
      <x:c r="N45" s="38" t="str"/>
      <x:c r="O45" s="38" t="str"/>
      <x:c r="P45" s="38" t="str"/>
      <x:c r="Q45" s="38" t="str"/>
      <x:c r="R45" s="46"/>
    </x:row>
    <x:row r="46" ht="46" customHeight="1">
      <x:c r="A46" s="38" t="n">
        <x:v>45</x:v>
      </x:c>
      <x:c r="B46" s="38" t="str">
        <x:v>M03 AI 創作與 YouTube 媒體工坊</x:v>
      </x:c>
      <x:c r="C46" s="38" t="str">
        <x:v>兒童頻道的安全與隱私</x:v>
      </x:c>
      <x:c r="D46" s="42"/>
      <x:c r="E46" s="42"/>
      <x:c r="F46" s="38" t="str">
        <x:v>未開始</x:v>
      </x:c>
      <x:c r="G46" s="38"/>
      <x:c r="H46" s="38"/>
      <x:c r="I46" s="44" t="n">
        <x:v>0</x:v>
      </x:c>
      <x:c r="J46" s="38" t="str"/>
      <x:c r="K46" s="38" t="str"/>
      <x:c r="L46" s="38" t="str"/>
      <x:c r="M46" s="38" t="str"/>
      <x:c r="N46" s="38" t="str"/>
      <x:c r="O46" s="38" t="str"/>
      <x:c r="P46" s="38" t="str"/>
      <x:c r="Q46" s="38" t="str"/>
      <x:c r="R46" s="46"/>
    </x:row>
    <x:row r="47" ht="46" customHeight="1">
      <x:c r="A47" s="38" t="n">
        <x:v>46</x:v>
      </x:c>
      <x:c r="B47" s="38" t="str">
        <x:v>M03 AI 創作與 YouTube 媒體工坊</x:v>
      </x:c>
      <x:c r="C47" s="38" t="str">
        <x:v>一分鐘科普片：為什麼電池會沒電</x:v>
      </x:c>
      <x:c r="D47" s="42"/>
      <x:c r="E47" s="42"/>
      <x:c r="F47" s="38" t="str">
        <x:v>未開始</x:v>
      </x:c>
      <x:c r="G47" s="38"/>
      <x:c r="H47" s="38"/>
      <x:c r="I47" s="44" t="n">
        <x:v>0</x:v>
      </x:c>
      <x:c r="J47" s="38" t="str"/>
      <x:c r="K47" s="38" t="str"/>
      <x:c r="L47" s="38" t="str"/>
      <x:c r="M47" s="38" t="str"/>
      <x:c r="N47" s="38" t="str"/>
      <x:c r="O47" s="38" t="str"/>
      <x:c r="P47" s="38" t="str"/>
      <x:c r="Q47" s="38" t="str"/>
      <x:c r="R47" s="46"/>
    </x:row>
    <x:row r="48" ht="46" customHeight="1">
      <x:c r="A48" s="38" t="n">
        <x:v>47</x:v>
      </x:c>
      <x:c r="B48" s="38" t="str">
        <x:v>M03 AI 創作與 YouTube 媒體工坊</x:v>
      </x:c>
      <x:c r="C48" s="38" t="str">
        <x:v>試播會：觀眾到底聽懂了嗎</x:v>
      </x:c>
      <x:c r="D48" s="42"/>
      <x:c r="E48" s="42"/>
      <x:c r="F48" s="38" t="str">
        <x:v>未開始</x:v>
      </x:c>
      <x:c r="G48" s="38"/>
      <x:c r="H48" s="38"/>
      <x:c r="I48" s="44" t="n">
        <x:v>0</x:v>
      </x:c>
      <x:c r="J48" s="38" t="str"/>
      <x:c r="K48" s="38" t="str"/>
      <x:c r="L48" s="38" t="str"/>
      <x:c r="M48" s="38" t="str"/>
      <x:c r="N48" s="38" t="str"/>
      <x:c r="O48" s="38" t="str"/>
      <x:c r="P48" s="38" t="str"/>
      <x:c r="Q48" s="38" t="str"/>
      <x:c r="R48" s="46"/>
    </x:row>
    <x:row r="49" ht="46" customHeight="1">
      <x:c r="A49" s="38" t="n">
        <x:v>48</x:v>
      </x:c>
      <x:c r="B49" s="38" t="str">
        <x:v>M03 AI 創作與 YouTube 媒體工坊</x:v>
      </x:c>
      <x:c r="C49" s="38" t="str">
        <x:v>第一季首映與內容資產歸檔</x:v>
      </x:c>
      <x:c r="D49" s="42"/>
      <x:c r="E49" s="42"/>
      <x:c r="F49" s="38" t="str">
        <x:v>未開始</x:v>
      </x:c>
      <x:c r="G49" s="38"/>
      <x:c r="H49" s="38"/>
      <x:c r="I49" s="44" t="n">
        <x:v>0</x:v>
      </x:c>
      <x:c r="J49" s="38" t="str"/>
      <x:c r="K49" s="38" t="str"/>
      <x:c r="L49" s="38" t="str"/>
      <x:c r="M49" s="38" t="str"/>
      <x:c r="N49" s="38" t="str"/>
      <x:c r="O49" s="38" t="str"/>
      <x:c r="P49" s="38" t="str"/>
      <x:c r="Q49" s="38" t="str"/>
      <x:c r="R49" s="46"/>
    </x:row>
    <x:row r="50" ht="46" customHeight="1">
      <x:c r="A50" s="38" t="n">
        <x:v>49</x:v>
      </x:c>
      <x:c r="B50" s="38" t="str">
        <x:v>M04 Python 冒險：從文字到小遊戲</x:v>
      </x:c>
      <x:c r="C50" s="38" t="str">
        <x:v>Python 第一行：讓電腦說話</x:v>
      </x:c>
      <x:c r="D50" s="42"/>
      <x:c r="E50" s="42"/>
      <x:c r="F50" s="38" t="str">
        <x:v>未開始</x:v>
      </x:c>
      <x:c r="G50" s="38"/>
      <x:c r="H50" s="38"/>
      <x:c r="I50" s="44" t="n">
        <x:v>0</x:v>
      </x:c>
      <x:c r="J50" s="38" t="str"/>
      <x:c r="K50" s="38" t="str"/>
      <x:c r="L50" s="38" t="str"/>
      <x:c r="M50" s="38" t="str"/>
      <x:c r="N50" s="38" t="str"/>
      <x:c r="O50" s="38" t="str"/>
      <x:c r="P50" s="38" t="str"/>
      <x:c r="Q50" s="38" t="str"/>
      <x:c r="R50" s="46"/>
    </x:row>
    <x:row r="51" ht="46" customHeight="1">
      <x:c r="A51" s="38" t="n">
        <x:v>50</x:v>
      </x:c>
      <x:c r="B51" s="38" t="str">
        <x:v>M04 Python 冒險：從文字到小遊戲</x:v>
      </x:c>
      <x:c r="C51" s="38" t="str">
        <x:v>變數：替資料貼標籤</x:v>
      </x:c>
      <x:c r="D51" s="42"/>
      <x:c r="E51" s="42"/>
      <x:c r="F51" s="38" t="str">
        <x:v>未開始</x:v>
      </x:c>
      <x:c r="G51" s="38"/>
      <x:c r="H51" s="38"/>
      <x:c r="I51" s="44" t="n">
        <x:v>0</x:v>
      </x:c>
      <x:c r="J51" s="38" t="str"/>
      <x:c r="K51" s="38" t="str"/>
      <x:c r="L51" s="38" t="str"/>
      <x:c r="M51" s="38" t="str"/>
      <x:c r="N51" s="38" t="str"/>
      <x:c r="O51" s="38" t="str"/>
      <x:c r="P51" s="38" t="str"/>
      <x:c r="Q51" s="38" t="str"/>
      <x:c r="R51" s="46"/>
    </x:row>
    <x:row r="52" ht="46" customHeight="1">
      <x:c r="A52" s="38" t="n">
        <x:v>51</x:v>
      </x:c>
      <x:c r="B52" s="38" t="str">
        <x:v>M04 Python 冒險：從文字到小遊戲</x:v>
      </x:c>
      <x:c r="C52" s="38" t="str">
        <x:v>input/output：會問問題的程式</x:v>
      </x:c>
      <x:c r="D52" s="42"/>
      <x:c r="E52" s="42"/>
      <x:c r="F52" s="38" t="str">
        <x:v>未開始</x:v>
      </x:c>
      <x:c r="G52" s="38"/>
      <x:c r="H52" s="38"/>
      <x:c r="I52" s="44" t="n">
        <x:v>0</x:v>
      </x:c>
      <x:c r="J52" s="38" t="str"/>
      <x:c r="K52" s="38" t="str"/>
      <x:c r="L52" s="38" t="str"/>
      <x:c r="M52" s="38" t="str"/>
      <x:c r="N52" s="38" t="str"/>
      <x:c r="O52" s="38" t="str"/>
      <x:c r="P52" s="38" t="str"/>
      <x:c r="Q52" s="38" t="str"/>
      <x:c r="R52" s="46"/>
    </x:row>
    <x:row r="53" ht="46" customHeight="1">
      <x:c r="A53" s="38" t="n">
        <x:v>52</x:v>
      </x:c>
      <x:c r="B53" s="38" t="str">
        <x:v>M04 Python 冒險：從文字到小遊戲</x:v>
      </x:c>
      <x:c r="C53" s="38" t="str">
        <x:v>if/else：猜數字對決</x:v>
      </x:c>
      <x:c r="D53" s="42"/>
      <x:c r="E53" s="42"/>
      <x:c r="F53" s="38" t="str">
        <x:v>未開始</x:v>
      </x:c>
      <x:c r="G53" s="38"/>
      <x:c r="H53" s="38"/>
      <x:c r="I53" s="44" t="n">
        <x:v>0</x:v>
      </x:c>
      <x:c r="J53" s="38" t="str"/>
      <x:c r="K53" s="38" t="str"/>
      <x:c r="L53" s="38" t="str"/>
      <x:c r="M53" s="38" t="str"/>
      <x:c r="N53" s="38" t="str"/>
      <x:c r="O53" s="38" t="str"/>
      <x:c r="P53" s="38" t="str"/>
      <x:c r="Q53" s="38" t="str"/>
      <x:c r="R53" s="46"/>
    </x:row>
    <x:row r="54" ht="46" customHeight="1">
      <x:c r="A54" s="38" t="n">
        <x:v>53</x:v>
      </x:c>
      <x:c r="B54" s="38" t="str">
        <x:v>M04 Python 冒險：從文字到小遊戲</x:v>
      </x:c>
      <x:c r="C54" s="38" t="str">
        <x:v>while：直到任務完成</x:v>
      </x:c>
      <x:c r="D54" s="42"/>
      <x:c r="E54" s="42"/>
      <x:c r="F54" s="38" t="str">
        <x:v>未開始</x:v>
      </x:c>
      <x:c r="G54" s="38"/>
      <x:c r="H54" s="38"/>
      <x:c r="I54" s="44" t="n">
        <x:v>0</x:v>
      </x:c>
      <x:c r="J54" s="38" t="str"/>
      <x:c r="K54" s="38" t="str"/>
      <x:c r="L54" s="38" t="str"/>
      <x:c r="M54" s="38" t="str"/>
      <x:c r="N54" s="38" t="str"/>
      <x:c r="O54" s="38" t="str"/>
      <x:c r="P54" s="38" t="str"/>
      <x:c r="Q54" s="38" t="str"/>
      <x:c r="R54" s="46"/>
    </x:row>
    <x:row r="55" ht="46" customHeight="1">
      <x:c r="A55" s="38" t="n">
        <x:v>54</x:v>
      </x:c>
      <x:c r="B55" s="38" t="str">
        <x:v>M04 Python 冒險：從文字到小遊戲</x:v>
      </x:c>
      <x:c r="C55" s="38" t="str">
        <x:v>for/range：巡邏與計數</x:v>
      </x:c>
      <x:c r="D55" s="42"/>
      <x:c r="E55" s="42"/>
      <x:c r="F55" s="38" t="str">
        <x:v>未開始</x:v>
      </x:c>
      <x:c r="G55" s="38"/>
      <x:c r="H55" s="38"/>
      <x:c r="I55" s="44" t="n">
        <x:v>0</x:v>
      </x:c>
      <x:c r="J55" s="38" t="str"/>
      <x:c r="K55" s="38" t="str"/>
      <x:c r="L55" s="38" t="str"/>
      <x:c r="M55" s="38" t="str"/>
      <x:c r="N55" s="38" t="str"/>
      <x:c r="O55" s="38" t="str"/>
      <x:c r="P55" s="38" t="str"/>
      <x:c r="Q55" s="38" t="str"/>
      <x:c r="R55" s="46"/>
    </x:row>
    <x:row r="56" ht="46" customHeight="1">
      <x:c r="A56" s="38" t="n">
        <x:v>55</x:v>
      </x:c>
      <x:c r="B56" s="38" t="str">
        <x:v>M04 Python 冒險：從文字到小遊戲</x:v>
      </x:c>
      <x:c r="C56" s="38" t="str">
        <x:v>list：冒險者的背包</x:v>
      </x:c>
      <x:c r="D56" s="42"/>
      <x:c r="E56" s="42"/>
      <x:c r="F56" s="38" t="str">
        <x:v>未開始</x:v>
      </x:c>
      <x:c r="G56" s="38"/>
      <x:c r="H56" s="38"/>
      <x:c r="I56" s="44" t="n">
        <x:v>0</x:v>
      </x:c>
      <x:c r="J56" s="38" t="str"/>
      <x:c r="K56" s="38" t="str"/>
      <x:c r="L56" s="38" t="str"/>
      <x:c r="M56" s="38" t="str"/>
      <x:c r="N56" s="38" t="str"/>
      <x:c r="O56" s="38" t="str"/>
      <x:c r="P56" s="38" t="str"/>
      <x:c r="Q56" s="38" t="str"/>
      <x:c r="R56" s="46"/>
    </x:row>
    <x:row r="57" ht="46" customHeight="1">
      <x:c r="A57" s="38" t="n">
        <x:v>56</x:v>
      </x:c>
      <x:c r="B57" s="38" t="str">
        <x:v>M04 Python 冒險：從文字到小遊戲</x:v>
      </x:c>
      <x:c r="C57" s="38" t="str">
        <x:v>dict：怪物圖鑑</x:v>
      </x:c>
      <x:c r="D57" s="42"/>
      <x:c r="E57" s="42"/>
      <x:c r="F57" s="38" t="str">
        <x:v>未開始</x:v>
      </x:c>
      <x:c r="G57" s="38"/>
      <x:c r="H57" s="38"/>
      <x:c r="I57" s="44" t="n">
        <x:v>0</x:v>
      </x:c>
      <x:c r="J57" s="38" t="str"/>
      <x:c r="K57" s="38" t="str"/>
      <x:c r="L57" s="38" t="str"/>
      <x:c r="M57" s="38" t="str"/>
      <x:c r="N57" s="38" t="str"/>
      <x:c r="O57" s="38" t="str"/>
      <x:c r="P57" s="38" t="str"/>
      <x:c r="Q57" s="38" t="str"/>
      <x:c r="R57" s="46"/>
    </x:row>
    <x:row r="58" ht="46" customHeight="1">
      <x:c r="A58" s="38" t="n">
        <x:v>57</x:v>
      </x:c>
      <x:c r="B58" s="38" t="str">
        <x:v>M04 Python 冒險：從文字到小遊戲</x:v>
      </x:c>
      <x:c r="C58" s="38" t="str">
        <x:v>function：自訂技能卡</x:v>
      </x:c>
      <x:c r="D58" s="42"/>
      <x:c r="E58" s="42"/>
      <x:c r="F58" s="38" t="str">
        <x:v>未開始</x:v>
      </x:c>
      <x:c r="G58" s="38"/>
      <x:c r="H58" s="38"/>
      <x:c r="I58" s="44" t="n">
        <x:v>0</x:v>
      </x:c>
      <x:c r="J58" s="38" t="str"/>
      <x:c r="K58" s="38" t="str"/>
      <x:c r="L58" s="38" t="str"/>
      <x:c r="M58" s="38" t="str"/>
      <x:c r="N58" s="38" t="str"/>
      <x:c r="O58" s="38" t="str"/>
      <x:c r="P58" s="38" t="str"/>
      <x:c r="Q58" s="38" t="str"/>
      <x:c r="R58" s="46"/>
    </x:row>
    <x:row r="59" ht="46" customHeight="1">
      <x:c r="A59" s="38" t="n">
        <x:v>58</x:v>
      </x:c>
      <x:c r="B59" s="38" t="str">
        <x:v>M04 Python 冒險：從文字到小遊戲</x:v>
      </x:c>
      <x:c r="C59" s="38" t="str">
        <x:v>random：命運骰子</x:v>
      </x:c>
      <x:c r="D59" s="42"/>
      <x:c r="E59" s="42"/>
      <x:c r="F59" s="38" t="str">
        <x:v>未開始</x:v>
      </x:c>
      <x:c r="G59" s="38"/>
      <x:c r="H59" s="38"/>
      <x:c r="I59" s="44" t="n">
        <x:v>0</x:v>
      </x:c>
      <x:c r="J59" s="38" t="str"/>
      <x:c r="K59" s="38" t="str"/>
      <x:c r="L59" s="38" t="str"/>
      <x:c r="M59" s="38" t="str"/>
      <x:c r="N59" s="38" t="str"/>
      <x:c r="O59" s="38" t="str"/>
      <x:c r="P59" s="38" t="str"/>
      <x:c r="Q59" s="38" t="str"/>
      <x:c r="R59" s="46"/>
    </x:row>
    <x:row r="60" ht="46" customHeight="1">
      <x:c r="A60" s="38" t="n">
        <x:v>59</x:v>
      </x:c>
      <x:c r="B60" s="38" t="str">
        <x:v>M04 Python 冒險：從文字到小遊戲</x:v>
      </x:c>
      <x:c r="C60" s="38" t="str">
        <x:v>例外處理：程式也要有安全網</x:v>
      </x:c>
      <x:c r="D60" s="42"/>
      <x:c r="E60" s="42"/>
      <x:c r="F60" s="38" t="str">
        <x:v>未開始</x:v>
      </x:c>
      <x:c r="G60" s="38"/>
      <x:c r="H60" s="38"/>
      <x:c r="I60" s="44" t="n">
        <x:v>0</x:v>
      </x:c>
      <x:c r="J60" s="38" t="str"/>
      <x:c r="K60" s="38" t="str"/>
      <x:c r="L60" s="38" t="str"/>
      <x:c r="M60" s="38" t="str"/>
      <x:c r="N60" s="38" t="str"/>
      <x:c r="O60" s="38" t="str"/>
      <x:c r="P60" s="38" t="str"/>
      <x:c r="Q60" s="38" t="str"/>
      <x:c r="R60" s="46"/>
    </x:row>
    <x:row r="61" ht="46" customHeight="1">
      <x:c r="A61" s="38" t="n">
        <x:v>60</x:v>
      </x:c>
      <x:c r="B61" s="38" t="str">
        <x:v>M04 Python 冒險：從文字到小遊戲</x:v>
      </x:c>
      <x:c r="C61" s="38" t="str">
        <x:v>檔案：讓遊戲記得你</x:v>
      </x:c>
      <x:c r="D61" s="42"/>
      <x:c r="E61" s="42"/>
      <x:c r="F61" s="38" t="str">
        <x:v>未開始</x:v>
      </x:c>
      <x:c r="G61" s="38"/>
      <x:c r="H61" s="38"/>
      <x:c r="I61" s="44" t="n">
        <x:v>0</x:v>
      </x:c>
      <x:c r="J61" s="38" t="str"/>
      <x:c r="K61" s="38" t="str"/>
      <x:c r="L61" s="38" t="str"/>
      <x:c r="M61" s="38" t="str"/>
      <x:c r="N61" s="38" t="str"/>
      <x:c r="O61" s="38" t="str"/>
      <x:c r="P61" s="38" t="str"/>
      <x:c r="Q61" s="38" t="str"/>
      <x:c r="R61" s="46"/>
    </x:row>
    <x:row r="62" ht="46" customHeight="1">
      <x:c r="A62" s="38" t="n">
        <x:v>61</x:v>
      </x:c>
      <x:c r="B62" s="38" t="str">
        <x:v>M04 Python 冒險：從文字到小遊戲</x:v>
      </x:c>
      <x:c r="C62" s="38" t="str">
        <x:v>文字 RPG 設計：地圖、事件與狀態</x:v>
      </x:c>
      <x:c r="D62" s="42"/>
      <x:c r="E62" s="42"/>
      <x:c r="F62" s="38" t="str">
        <x:v>未開始</x:v>
      </x:c>
      <x:c r="G62" s="38"/>
      <x:c r="H62" s="38"/>
      <x:c r="I62" s="44" t="n">
        <x:v>0</x:v>
      </x:c>
      <x:c r="J62" s="38" t="str"/>
      <x:c r="K62" s="38" t="str"/>
      <x:c r="L62" s="38" t="str"/>
      <x:c r="M62" s="38" t="str"/>
      <x:c r="N62" s="38" t="str"/>
      <x:c r="O62" s="38" t="str"/>
      <x:c r="P62" s="38" t="str"/>
      <x:c r="Q62" s="38" t="str"/>
      <x:c r="R62" s="46"/>
    </x:row>
    <x:row r="63" ht="46" customHeight="1">
      <x:c r="A63" s="38" t="n">
        <x:v>62</x:v>
      </x:c>
      <x:c r="B63" s="38" t="str">
        <x:v>M04 Python 冒險：從文字到小遊戲</x:v>
      </x:c>
      <x:c r="C63" s="38" t="str">
        <x:v>文字 RPG Alpha</x:v>
      </x:c>
      <x:c r="D63" s="42"/>
      <x:c r="E63" s="42"/>
      <x:c r="F63" s="38" t="str">
        <x:v>未開始</x:v>
      </x:c>
      <x:c r="G63" s="38"/>
      <x:c r="H63" s="38"/>
      <x:c r="I63" s="44" t="n">
        <x:v>0</x:v>
      </x:c>
      <x:c r="J63" s="38" t="str"/>
      <x:c r="K63" s="38" t="str"/>
      <x:c r="L63" s="38" t="str"/>
      <x:c r="M63" s="38" t="str"/>
      <x:c r="N63" s="38" t="str"/>
      <x:c r="O63" s="38" t="str"/>
      <x:c r="P63" s="38" t="str"/>
      <x:c r="Q63" s="38" t="str"/>
      <x:c r="R63" s="46"/>
    </x:row>
    <x:row r="64" ht="46" customHeight="1">
      <x:c r="A64" s="38" t="n">
        <x:v>63</x:v>
      </x:c>
      <x:c r="B64" s="38" t="str">
        <x:v>M04 Python 冒險：從文字到小遊戲</x:v>
      </x:c>
      <x:c r="C64" s="38" t="str">
        <x:v>測試與除錯：找出最短破關路線</x:v>
      </x:c>
      <x:c r="D64" s="42"/>
      <x:c r="E64" s="42"/>
      <x:c r="F64" s="38" t="str">
        <x:v>未開始</x:v>
      </x:c>
      <x:c r="G64" s="38"/>
      <x:c r="H64" s="38"/>
      <x:c r="I64" s="44" t="n">
        <x:v>0</x:v>
      </x:c>
      <x:c r="J64" s="38" t="str"/>
      <x:c r="K64" s="38" t="str"/>
      <x:c r="L64" s="38" t="str"/>
      <x:c r="M64" s="38" t="str"/>
      <x:c r="N64" s="38" t="str"/>
      <x:c r="O64" s="38" t="str"/>
      <x:c r="P64" s="38" t="str"/>
      <x:c r="Q64" s="38" t="str"/>
      <x:c r="R64" s="46"/>
    </x:row>
    <x:row r="65" ht="46" customHeight="1">
      <x:c r="A65" s="38" t="n">
        <x:v>64</x:v>
      </x:c>
      <x:c r="B65" s="38" t="str">
        <x:v>M04 Python 冒險：從文字到小遊戲</x:v>
      </x:c>
      <x:c r="C65" s="38" t="str">
        <x:v>發布 v1.0：寫給玩家的說明</x:v>
      </x:c>
      <x:c r="D65" s="42"/>
      <x:c r="E65" s="42"/>
      <x:c r="F65" s="38" t="str">
        <x:v>未開始</x:v>
      </x:c>
      <x:c r="G65" s="38"/>
      <x:c r="H65" s="38"/>
      <x:c r="I65" s="44" t="n">
        <x:v>0</x:v>
      </x:c>
      <x:c r="J65" s="38" t="str"/>
      <x:c r="K65" s="38" t="str"/>
      <x:c r="L65" s="38" t="str"/>
      <x:c r="M65" s="38" t="str"/>
      <x:c r="N65" s="38" t="str"/>
      <x:c r="O65" s="38" t="str"/>
      <x:c r="P65" s="38" t="str"/>
      <x:c r="Q65" s="38" t="str"/>
      <x:c r="R65" s="46"/>
    </x:row>
    <x:row r="66" ht="46" customHeight="1">
      <x:c r="A66" s="38" t="n">
        <x:v>65</x:v>
      </x:c>
      <x:c r="B66" s="38" t="str">
        <x:v>M05 Web 創作者：我的第一個網站</x:v>
      </x:c>
      <x:c r="C66" s="38" t="str">
        <x:v>網頁、網站、瀏覽器與伺服器</x:v>
      </x:c>
      <x:c r="D66" s="42"/>
      <x:c r="E66" s="42"/>
      <x:c r="F66" s="38" t="str">
        <x:v>未開始</x:v>
      </x:c>
      <x:c r="G66" s="38"/>
      <x:c r="H66" s="38"/>
      <x:c r="I66" s="44" t="n">
        <x:v>0</x:v>
      </x:c>
      <x:c r="J66" s="38" t="str"/>
      <x:c r="K66" s="38" t="str"/>
      <x:c r="L66" s="38" t="str"/>
      <x:c r="M66" s="38" t="str"/>
      <x:c r="N66" s="38" t="str"/>
      <x:c r="O66" s="38" t="str"/>
      <x:c r="P66" s="38" t="str"/>
      <x:c r="Q66" s="38" t="str"/>
      <x:c r="R66" s="46"/>
    </x:row>
    <x:row r="67" ht="46" customHeight="1">
      <x:c r="A67" s="38" t="n">
        <x:v>66</x:v>
      </x:c>
      <x:c r="B67" s="38" t="str">
        <x:v>M05 Web 創作者：我的第一個網站</x:v>
      </x:c>
      <x:c r="C67" s="38" t="str">
        <x:v>HTML 骨架：內容的房子</x:v>
      </x:c>
      <x:c r="D67" s="42"/>
      <x:c r="E67" s="42"/>
      <x:c r="F67" s="38" t="str">
        <x:v>未開始</x:v>
      </x:c>
      <x:c r="G67" s="38"/>
      <x:c r="H67" s="38"/>
      <x:c r="I67" s="44" t="n">
        <x:v>0</x:v>
      </x:c>
      <x:c r="J67" s="38" t="str"/>
      <x:c r="K67" s="38" t="str"/>
      <x:c r="L67" s="38" t="str"/>
      <x:c r="M67" s="38" t="str"/>
      <x:c r="N67" s="38" t="str"/>
      <x:c r="O67" s="38" t="str"/>
      <x:c r="P67" s="38" t="str"/>
      <x:c r="Q67" s="38" t="str"/>
      <x:c r="R67" s="46"/>
    </x:row>
    <x:row r="68" ht="46" customHeight="1">
      <x:c r="A68" s="38" t="n">
        <x:v>67</x:v>
      </x:c>
      <x:c r="B68" s="38" t="str">
        <x:v>M05 Web 創作者：我的第一個網站</x:v>
      </x:c>
      <x:c r="C68" s="38" t="str">
        <x:v>連結、圖片與清單</x:v>
      </x:c>
      <x:c r="D68" s="42"/>
      <x:c r="E68" s="42"/>
      <x:c r="F68" s="38" t="str">
        <x:v>未開始</x:v>
      </x:c>
      <x:c r="G68" s="38"/>
      <x:c r="H68" s="38"/>
      <x:c r="I68" s="44" t="n">
        <x:v>0</x:v>
      </x:c>
      <x:c r="J68" s="38" t="str"/>
      <x:c r="K68" s="38" t="str"/>
      <x:c r="L68" s="38" t="str"/>
      <x:c r="M68" s="38" t="str"/>
      <x:c r="N68" s="38" t="str"/>
      <x:c r="O68" s="38" t="str"/>
      <x:c r="P68" s="38" t="str"/>
      <x:c r="Q68" s="38" t="str"/>
      <x:c r="R68" s="46"/>
    </x:row>
    <x:row r="69" ht="46" customHeight="1">
      <x:c r="A69" s="38" t="n">
        <x:v>68</x:v>
      </x:c>
      <x:c r="B69" s="38" t="str">
        <x:v>M05 Web 創作者：我的第一個網站</x:v>
      </x:c>
      <x:c r="C69" s="38" t="str">
        <x:v>CSS 上色但不失控</x:v>
      </x:c>
      <x:c r="D69" s="42"/>
      <x:c r="E69" s="42"/>
      <x:c r="F69" s="38" t="str">
        <x:v>未開始</x:v>
      </x:c>
      <x:c r="G69" s="38"/>
      <x:c r="H69" s="38"/>
      <x:c r="I69" s="44" t="n">
        <x:v>0</x:v>
      </x:c>
      <x:c r="J69" s="38" t="str"/>
      <x:c r="K69" s="38" t="str"/>
      <x:c r="L69" s="38" t="str"/>
      <x:c r="M69" s="38" t="str"/>
      <x:c r="N69" s="38" t="str"/>
      <x:c r="O69" s="38" t="str"/>
      <x:c r="P69" s="38" t="str"/>
      <x:c r="Q69" s="38" t="str"/>
      <x:c r="R69" s="46"/>
    </x:row>
    <x:row r="70" ht="46" customHeight="1">
      <x:c r="A70" s="38" t="n">
        <x:v>69</x:v>
      </x:c>
      <x:c r="B70" s="38" t="str">
        <x:v>M05 Web 創作者：我的第一個網站</x:v>
      </x:c>
      <x:c r="C70" s="38" t="str">
        <x:v>Box Model：每個元素都有盒子</x:v>
      </x:c>
      <x:c r="D70" s="42"/>
      <x:c r="E70" s="42"/>
      <x:c r="F70" s="38" t="str">
        <x:v>未開始</x:v>
      </x:c>
      <x:c r="G70" s="38"/>
      <x:c r="H70" s="38"/>
      <x:c r="I70" s="44" t="n">
        <x:v>0</x:v>
      </x:c>
      <x:c r="J70" s="38" t="str"/>
      <x:c r="K70" s="38" t="str"/>
      <x:c r="L70" s="38" t="str"/>
      <x:c r="M70" s="38" t="str"/>
      <x:c r="N70" s="38" t="str"/>
      <x:c r="O70" s="38" t="str"/>
      <x:c r="P70" s="38" t="str"/>
      <x:c r="Q70" s="38" t="str"/>
      <x:c r="R70" s="46"/>
    </x:row>
    <x:row r="71" ht="46" customHeight="1">
      <x:c r="A71" s="38" t="n">
        <x:v>70</x:v>
      </x:c>
      <x:c r="B71" s="38" t="str">
        <x:v>M05 Web 創作者：我的第一個網站</x:v>
      </x:c>
      <x:c r="C71" s="38" t="str">
        <x:v>Flexbox 排版挑戰</x:v>
      </x:c>
      <x:c r="D71" s="42"/>
      <x:c r="E71" s="42"/>
      <x:c r="F71" s="38" t="str">
        <x:v>未開始</x:v>
      </x:c>
      <x:c r="G71" s="38"/>
      <x:c r="H71" s="38"/>
      <x:c r="I71" s="44" t="n">
        <x:v>0</x:v>
      </x:c>
      <x:c r="J71" s="38" t="str"/>
      <x:c r="K71" s="38" t="str"/>
      <x:c r="L71" s="38" t="str"/>
      <x:c r="M71" s="38" t="str"/>
      <x:c r="N71" s="38" t="str"/>
      <x:c r="O71" s="38" t="str"/>
      <x:c r="P71" s="38" t="str"/>
      <x:c r="Q71" s="38" t="str"/>
      <x:c r="R71" s="46"/>
    </x:row>
    <x:row r="72" ht="46" customHeight="1">
      <x:c r="A72" s="38" t="n">
        <x:v>71</x:v>
      </x:c>
      <x:c r="B72" s="38" t="str">
        <x:v>M05 Web 創作者：我的第一個網站</x:v>
      </x:c>
      <x:c r="C72" s="38" t="str">
        <x:v>手機也要好看：Responsive</x:v>
      </x:c>
      <x:c r="D72" s="42"/>
      <x:c r="E72" s="42"/>
      <x:c r="F72" s="38" t="str">
        <x:v>未開始</x:v>
      </x:c>
      <x:c r="G72" s="38"/>
      <x:c r="H72" s="38"/>
      <x:c r="I72" s="44" t="n">
        <x:v>0</x:v>
      </x:c>
      <x:c r="J72" s="38" t="str"/>
      <x:c r="K72" s="38" t="str"/>
      <x:c r="L72" s="38" t="str"/>
      <x:c r="M72" s="38" t="str"/>
      <x:c r="N72" s="38" t="str"/>
      <x:c r="O72" s="38" t="str"/>
      <x:c r="P72" s="38" t="str"/>
      <x:c r="Q72" s="38" t="str"/>
      <x:c r="R72" s="46"/>
    </x:row>
    <x:row r="73" ht="46" customHeight="1">
      <x:c r="A73" s="38" t="n">
        <x:v>72</x:v>
      </x:c>
      <x:c r="B73" s="38" t="str">
        <x:v>M05 Web 創作者：我的第一個網站</x:v>
      </x:c>
      <x:c r="C73" s="38" t="str">
        <x:v>可及性：不是每個人都一樣使用網頁</x:v>
      </x:c>
      <x:c r="D73" s="42"/>
      <x:c r="E73" s="42"/>
      <x:c r="F73" s="38" t="str">
        <x:v>未開始</x:v>
      </x:c>
      <x:c r="G73" s="38"/>
      <x:c r="H73" s="38"/>
      <x:c r="I73" s="44" t="n">
        <x:v>0</x:v>
      </x:c>
      <x:c r="J73" s="38" t="str"/>
      <x:c r="K73" s="38" t="str"/>
      <x:c r="L73" s="38" t="str"/>
      <x:c r="M73" s="38" t="str"/>
      <x:c r="N73" s="38" t="str"/>
      <x:c r="O73" s="38" t="str"/>
      <x:c r="P73" s="38" t="str"/>
      <x:c r="Q73" s="38" t="str"/>
      <x:c r="R73" s="46"/>
    </x:row>
    <x:row r="74" ht="46" customHeight="1">
      <x:c r="A74" s="38" t="n">
        <x:v>73</x:v>
      </x:c>
      <x:c r="B74" s="38" t="str">
        <x:v>M05 Web 創作者：我的第一個網站</x:v>
      </x:c>
      <x:c r="C74" s="38" t="str">
        <x:v>JavaScript 第一個互動</x:v>
      </x:c>
      <x:c r="D74" s="42"/>
      <x:c r="E74" s="42"/>
      <x:c r="F74" s="38" t="str">
        <x:v>未開始</x:v>
      </x:c>
      <x:c r="G74" s="38"/>
      <x:c r="H74" s="38"/>
      <x:c r="I74" s="44" t="n">
        <x:v>0</x:v>
      </x:c>
      <x:c r="J74" s="38" t="str"/>
      <x:c r="K74" s="38" t="str"/>
      <x:c r="L74" s="38" t="str"/>
      <x:c r="M74" s="38" t="str"/>
      <x:c r="N74" s="38" t="str"/>
      <x:c r="O74" s="38" t="str"/>
      <x:c r="P74" s="38" t="str"/>
      <x:c r="Q74" s="38" t="str"/>
      <x:c r="R74" s="46"/>
    </x:row>
    <x:row r="75" ht="46" customHeight="1">
      <x:c r="A75" s="38" t="n">
        <x:v>74</x:v>
      </x:c>
      <x:c r="B75" s="38" t="str">
        <x:v>M05 Web 創作者：我的第一個網站</x:v>
      </x:c>
      <x:c r="C75" s="38" t="str">
        <x:v>DOM：程式如何改網頁</x:v>
      </x:c>
      <x:c r="D75" s="42"/>
      <x:c r="E75" s="42"/>
      <x:c r="F75" s="38" t="str">
        <x:v>未開始</x:v>
      </x:c>
      <x:c r="G75" s="38"/>
      <x:c r="H75" s="38"/>
      <x:c r="I75" s="44" t="n">
        <x:v>0</x:v>
      </x:c>
      <x:c r="J75" s="38" t="str"/>
      <x:c r="K75" s="38" t="str"/>
      <x:c r="L75" s="38" t="str"/>
      <x:c r="M75" s="38" t="str"/>
      <x:c r="N75" s="38" t="str"/>
      <x:c r="O75" s="38" t="str"/>
      <x:c r="P75" s="38" t="str"/>
      <x:c r="Q75" s="38" t="str"/>
      <x:c r="R75" s="46"/>
    </x:row>
    <x:row r="76" ht="46" customHeight="1">
      <x:c r="A76" s="38" t="n">
        <x:v>75</x:v>
      </x:c>
      <x:c r="B76" s="38" t="str">
        <x:v>M05 Web 創作者：我的第一個網站</x:v>
      </x:c>
      <x:c r="C76" s="38" t="str">
        <x:v>表單與輸入驗證</x:v>
      </x:c>
      <x:c r="D76" s="42"/>
      <x:c r="E76" s="42"/>
      <x:c r="F76" s="38" t="str">
        <x:v>未開始</x:v>
      </x:c>
      <x:c r="G76" s="38"/>
      <x:c r="H76" s="38"/>
      <x:c r="I76" s="44" t="n">
        <x:v>0</x:v>
      </x:c>
      <x:c r="J76" s="38" t="str"/>
      <x:c r="K76" s="38" t="str"/>
      <x:c r="L76" s="38" t="str"/>
      <x:c r="M76" s="38" t="str"/>
      <x:c r="N76" s="38" t="str"/>
      <x:c r="O76" s="38" t="str"/>
      <x:c r="P76" s="38" t="str"/>
      <x:c r="Q76" s="38" t="str"/>
      <x:c r="R76" s="46"/>
    </x:row>
    <x:row r="77" ht="46" customHeight="1">
      <x:c r="A77" s="38" t="n">
        <x:v>76</x:v>
      </x:c>
      <x:c r="B77" s="38" t="str">
        <x:v>M05 Web 創作者：我的第一個網站</x:v>
      </x:c>
      <x:c r="C77" s="38" t="str">
        <x:v>Local Storage：讓瀏覽器記得</x:v>
      </x:c>
      <x:c r="D77" s="42"/>
      <x:c r="E77" s="42"/>
      <x:c r="F77" s="38" t="str">
        <x:v>未開始</x:v>
      </x:c>
      <x:c r="G77" s="38"/>
      <x:c r="H77" s="38"/>
      <x:c r="I77" s="44" t="n">
        <x:v>0</x:v>
      </x:c>
      <x:c r="J77" s="38" t="str"/>
      <x:c r="K77" s="38" t="str"/>
      <x:c r="L77" s="38" t="str"/>
      <x:c r="M77" s="38" t="str"/>
      <x:c r="N77" s="38" t="str"/>
      <x:c r="O77" s="38" t="str"/>
      <x:c r="P77" s="38" t="str"/>
      <x:c r="Q77" s="38" t="str"/>
      <x:c r="R77" s="46"/>
    </x:row>
    <x:row r="78" ht="46" customHeight="1">
      <x:c r="A78" s="38" t="n">
        <x:v>77</x:v>
      </x:c>
      <x:c r="B78" s="38" t="str">
        <x:v>M05 Web 創作者：我的第一個網站</x:v>
      </x:c>
      <x:c r="C78" s="38" t="str">
        <x:v>網站企劃：個人科技博物館</x:v>
      </x:c>
      <x:c r="D78" s="42"/>
      <x:c r="E78" s="42"/>
      <x:c r="F78" s="38" t="str">
        <x:v>未開始</x:v>
      </x:c>
      <x:c r="G78" s="38"/>
      <x:c r="H78" s="38"/>
      <x:c r="I78" s="44" t="n">
        <x:v>0</x:v>
      </x:c>
      <x:c r="J78" s="38" t="str"/>
      <x:c r="K78" s="38" t="str"/>
      <x:c r="L78" s="38" t="str"/>
      <x:c r="M78" s="38" t="str"/>
      <x:c r="N78" s="38" t="str"/>
      <x:c r="O78" s="38" t="str"/>
      <x:c r="P78" s="38" t="str"/>
      <x:c r="Q78" s="38" t="str"/>
      <x:c r="R78" s="46"/>
    </x:row>
    <x:row r="79" ht="46" customHeight="1">
      <x:c r="A79" s="38" t="n">
        <x:v>78</x:v>
      </x:c>
      <x:c r="B79" s="38" t="str">
        <x:v>M05 Web 創作者：我的第一個網站</x:v>
      </x:c>
      <x:c r="C79" s="38" t="str">
        <x:v>建置 Sprint：從首頁到作品頁</x:v>
      </x:c>
      <x:c r="D79" s="42"/>
      <x:c r="E79" s="42"/>
      <x:c r="F79" s="38" t="str">
        <x:v>未開始</x:v>
      </x:c>
      <x:c r="G79" s="38"/>
      <x:c r="H79" s="38"/>
      <x:c r="I79" s="44" t="n">
        <x:v>0</x:v>
      </x:c>
      <x:c r="J79" s="38" t="str"/>
      <x:c r="K79" s="38" t="str"/>
      <x:c r="L79" s="38" t="str"/>
      <x:c r="M79" s="38" t="str"/>
      <x:c r="N79" s="38" t="str"/>
      <x:c r="O79" s="38" t="str"/>
      <x:c r="P79" s="38" t="str"/>
      <x:c r="Q79" s="38" t="str"/>
      <x:c r="R79" s="46"/>
    </x:row>
    <x:row r="80" ht="46" customHeight="1">
      <x:c r="A80" s="38" t="n">
        <x:v>79</x:v>
      </x:c>
      <x:c r="B80" s="38" t="str">
        <x:v>M05 Web 創作者：我的第一個網站</x:v>
      </x:c>
      <x:c r="C80" s="38" t="str">
        <x:v>GitHub Pages 發布與測試</x:v>
      </x:c>
      <x:c r="D80" s="42"/>
      <x:c r="E80" s="42"/>
      <x:c r="F80" s="38" t="str">
        <x:v>未開始</x:v>
      </x:c>
      <x:c r="G80" s="38"/>
      <x:c r="H80" s="38"/>
      <x:c r="I80" s="44" t="n">
        <x:v>0</x:v>
      </x:c>
      <x:c r="J80" s="38" t="str"/>
      <x:c r="K80" s="38" t="str"/>
      <x:c r="L80" s="38" t="str"/>
      <x:c r="M80" s="38" t="str"/>
      <x:c r="N80" s="38" t="str"/>
      <x:c r="O80" s="38" t="str"/>
      <x:c r="P80" s="38" t="str"/>
      <x:c r="Q80" s="38" t="str"/>
      <x:c r="R80" s="46"/>
    </x:row>
    <x:row r="81" ht="46" customHeight="1">
      <x:c r="A81" s="38" t="n">
        <x:v>80</x:v>
      </x:c>
      <x:c r="B81" s="38" t="str">
        <x:v>M05 Web 創作者：我的第一個網站</x:v>
      </x:c>
      <x:c r="C81" s="38" t="str">
        <x:v>線上導覽員發表會</x:v>
      </x:c>
      <x:c r="D81" s="42"/>
      <x:c r="E81" s="42"/>
      <x:c r="F81" s="38" t="str">
        <x:v>未開始</x:v>
      </x:c>
      <x:c r="G81" s="38"/>
      <x:c r="H81" s="38"/>
      <x:c r="I81" s="44" t="n">
        <x:v>0</x:v>
      </x:c>
      <x:c r="J81" s="38" t="str"/>
      <x:c r="K81" s="38" t="str"/>
      <x:c r="L81" s="38" t="str"/>
      <x:c r="M81" s="38" t="str"/>
      <x:c r="N81" s="38" t="str"/>
      <x:c r="O81" s="38" t="str"/>
      <x:c r="P81" s="38" t="str"/>
      <x:c r="Q81" s="38" t="str"/>
      <x:c r="R81" s="46"/>
    </x:row>
    <x:row r="82" ht="46" customHeight="1">
      <x:c r="A82" s="38" t="n">
        <x:v>81</x:v>
      </x:c>
      <x:c r="B82" s="38" t="str">
        <x:v>M06 Maker Lab：micro:bit 電子與感測</x:v>
      </x:c>
      <x:c r="C82" s="38" t="str">
        <x:v>電、電子與安全規則</x:v>
      </x:c>
      <x:c r="D82" s="42"/>
      <x:c r="E82" s="42"/>
      <x:c r="F82" s="38" t="str">
        <x:v>未開始</x:v>
      </x:c>
      <x:c r="G82" s="38"/>
      <x:c r="H82" s="38"/>
      <x:c r="I82" s="44" t="n">
        <x:v>0</x:v>
      </x:c>
      <x:c r="J82" s="38" t="str"/>
      <x:c r="K82" s="38" t="str"/>
      <x:c r="L82" s="38" t="str"/>
      <x:c r="M82" s="38" t="str"/>
      <x:c r="N82" s="38" t="str"/>
      <x:c r="O82" s="38" t="str"/>
      <x:c r="P82" s="38" t="str"/>
      <x:c r="Q82" s="38" t="str"/>
      <x:c r="R82" s="46"/>
    </x:row>
    <x:row r="83" ht="46" customHeight="1">
      <x:c r="A83" s="38" t="n">
        <x:v>82</x:v>
      </x:c>
      <x:c r="B83" s="38" t="str">
        <x:v>M06 Maker Lab：micro:bit 電子與感測</x:v>
      </x:c>
      <x:c r="C83" s="38" t="str">
        <x:v>Hello micro:bit：LED 與按鈕</x:v>
      </x:c>
      <x:c r="D83" s="42"/>
      <x:c r="E83" s="42"/>
      <x:c r="F83" s="38" t="str">
        <x:v>未開始</x:v>
      </x:c>
      <x:c r="G83" s="38"/>
      <x:c r="H83" s="38"/>
      <x:c r="I83" s="44" t="n">
        <x:v>0</x:v>
      </x:c>
      <x:c r="J83" s="38" t="str"/>
      <x:c r="K83" s="38" t="str"/>
      <x:c r="L83" s="38" t="str"/>
      <x:c r="M83" s="38" t="str"/>
      <x:c r="N83" s="38" t="str"/>
      <x:c r="O83" s="38" t="str"/>
      <x:c r="P83" s="38" t="str"/>
      <x:c r="Q83" s="38" t="str"/>
      <x:c r="R83" s="46"/>
    </x:row>
    <x:row r="84" ht="46" customHeight="1">
      <x:c r="A84" s="38" t="n">
        <x:v>83</x:v>
      </x:c>
      <x:c r="B84" s="38" t="str">
        <x:v>M06 Maker Lab：micro:bit 電子與感測</x:v>
      </x:c>
      <x:c r="C84" s="38" t="str">
        <x:v>感測器就是機器的感官</x:v>
      </x:c>
      <x:c r="D84" s="42"/>
      <x:c r="E84" s="42"/>
      <x:c r="F84" s="38" t="str">
        <x:v>未開始</x:v>
      </x:c>
      <x:c r="G84" s="38"/>
      <x:c r="H84" s="38"/>
      <x:c r="I84" s="44" t="n">
        <x:v>0</x:v>
      </x:c>
      <x:c r="J84" s="38" t="str"/>
      <x:c r="K84" s="38" t="str"/>
      <x:c r="L84" s="38" t="str"/>
      <x:c r="M84" s="38" t="str"/>
      <x:c r="N84" s="38" t="str"/>
      <x:c r="O84" s="38" t="str"/>
      <x:c r="P84" s="38" t="str"/>
      <x:c r="Q84" s="38" t="str"/>
      <x:c r="R84" s="46"/>
    </x:row>
    <x:row r="85" ht="46" customHeight="1">
      <x:c r="A85" s="38" t="n">
        <x:v>84</x:v>
      </x:c>
      <x:c r="B85" s="38" t="str">
        <x:v>M06 Maker Lab：micro:bit 電子與感測</x:v>
      </x:c>
      <x:c r="C85" s="38" t="str">
        <x:v>加速度計：步數與動作偵測</x:v>
      </x:c>
      <x:c r="D85" s="42"/>
      <x:c r="E85" s="42"/>
      <x:c r="F85" s="38" t="str">
        <x:v>未開始</x:v>
      </x:c>
      <x:c r="G85" s="38"/>
      <x:c r="H85" s="38"/>
      <x:c r="I85" s="44" t="n">
        <x:v>0</x:v>
      </x:c>
      <x:c r="J85" s="38" t="str"/>
      <x:c r="K85" s="38" t="str"/>
      <x:c r="L85" s="38" t="str"/>
      <x:c r="M85" s="38" t="str"/>
      <x:c r="N85" s="38" t="str"/>
      <x:c r="O85" s="38" t="str"/>
      <x:c r="P85" s="38" t="str"/>
      <x:c r="Q85" s="38" t="str"/>
      <x:c r="R85" s="46"/>
    </x:row>
    <x:row r="86" ht="46" customHeight="1">
      <x:c r="A86" s="38" t="n">
        <x:v>85</x:v>
      </x:c>
      <x:c r="B86" s="38" t="str">
        <x:v>M06 Maker Lab：micro:bit 電子與感測</x:v>
      </x:c>
      <x:c r="C86" s="38" t="str">
        <x:v>電子羅盤尋寶</x:v>
      </x:c>
      <x:c r="D86" s="42"/>
      <x:c r="E86" s="42"/>
      <x:c r="F86" s="38" t="str">
        <x:v>未開始</x:v>
      </x:c>
      <x:c r="G86" s="38"/>
      <x:c r="H86" s="38"/>
      <x:c r="I86" s="44" t="n">
        <x:v>0</x:v>
      </x:c>
      <x:c r="J86" s="38" t="str"/>
      <x:c r="K86" s="38" t="str"/>
      <x:c r="L86" s="38" t="str"/>
      <x:c r="M86" s="38" t="str"/>
      <x:c r="N86" s="38" t="str"/>
      <x:c r="O86" s="38" t="str"/>
      <x:c r="P86" s="38" t="str"/>
      <x:c r="Q86" s="38" t="str"/>
      <x:c r="R86" s="46"/>
    </x:row>
    <x:row r="87" ht="46" customHeight="1">
      <x:c r="A87" s="38" t="n">
        <x:v>86</x:v>
      </x:c>
      <x:c r="B87" s="38" t="str">
        <x:v>M06 Maker Lab：micro:bit 電子與感測</x:v>
      </x:c>
      <x:c r="C87" s="38" t="str">
        <x:v>溫度警報與舒適區</x:v>
      </x:c>
      <x:c r="D87" s="42"/>
      <x:c r="E87" s="42"/>
      <x:c r="F87" s="38" t="str">
        <x:v>未開始</x:v>
      </x:c>
      <x:c r="G87" s="38"/>
      <x:c r="H87" s="38"/>
      <x:c r="I87" s="44" t="n">
        <x:v>0</x:v>
      </x:c>
      <x:c r="J87" s="38" t="str"/>
      <x:c r="K87" s="38" t="str"/>
      <x:c r="L87" s="38" t="str"/>
      <x:c r="M87" s="38" t="str"/>
      <x:c r="N87" s="38" t="str"/>
      <x:c r="O87" s="38" t="str"/>
      <x:c r="P87" s="38" t="str"/>
      <x:c r="Q87" s="38" t="str"/>
      <x:c r="R87" s="46"/>
    </x:row>
    <x:row r="88" ht="46" customHeight="1">
      <x:c r="A88" s="38" t="n">
        <x:v>87</x:v>
      </x:c>
      <x:c r="B88" s="38" t="str">
        <x:v>M06 Maker Lab：micro:bit 電子與感測</x:v>
      </x:c>
      <x:c r="C88" s="38" t="str">
        <x:v>Radio：兩台裝置秘密通訊</x:v>
      </x:c>
      <x:c r="D88" s="42"/>
      <x:c r="E88" s="42"/>
      <x:c r="F88" s="38" t="str">
        <x:v>未開始</x:v>
      </x:c>
      <x:c r="G88" s="38"/>
      <x:c r="H88" s="38"/>
      <x:c r="I88" s="44" t="n">
        <x:v>0</x:v>
      </x:c>
      <x:c r="J88" s="38" t="str"/>
      <x:c r="K88" s="38" t="str"/>
      <x:c r="L88" s="38" t="str"/>
      <x:c r="M88" s="38" t="str"/>
      <x:c r="N88" s="38" t="str"/>
      <x:c r="O88" s="38" t="str"/>
      <x:c r="P88" s="38" t="str"/>
      <x:c r="Q88" s="38" t="str"/>
      <x:c r="R88" s="46"/>
    </x:row>
    <x:row r="89" ht="46" customHeight="1">
      <x:c r="A89" s="38" t="n">
        <x:v>88</x:v>
      </x:c>
      <x:c r="B89" s="38" t="str">
        <x:v>M06 Maker Lab：micro:bit 電子與感測</x:v>
      </x:c>
      <x:c r="C89" s="38" t="str">
        <x:v>音樂、節拍與蜂鳴器</x:v>
      </x:c>
      <x:c r="D89" s="42"/>
      <x:c r="E89" s="42"/>
      <x:c r="F89" s="38" t="str">
        <x:v>未開始</x:v>
      </x:c>
      <x:c r="G89" s="38"/>
      <x:c r="H89" s="38"/>
      <x:c r="I89" s="44" t="n">
        <x:v>0</x:v>
      </x:c>
      <x:c r="J89" s="38" t="str"/>
      <x:c r="K89" s="38" t="str"/>
      <x:c r="L89" s="38" t="str"/>
      <x:c r="M89" s="38" t="str"/>
      <x:c r="N89" s="38" t="str"/>
      <x:c r="O89" s="38" t="str"/>
      <x:c r="P89" s="38" t="str"/>
      <x:c r="Q89" s="38" t="str"/>
      <x:c r="R89" s="46"/>
    </x:row>
    <x:row r="90" ht="46" customHeight="1">
      <x:c r="A90" s="38" t="n">
        <x:v>89</x:v>
      </x:c>
      <x:c r="B90" s="38" t="str">
        <x:v>M06 Maker Lab：micro:bit 電子與感測</x:v>
      </x:c>
      <x:c r="C90" s="38" t="str">
        <x:v>伺服馬達：讓程式真的動</x:v>
      </x:c>
      <x:c r="D90" s="42"/>
      <x:c r="E90" s="42"/>
      <x:c r="F90" s="38" t="str">
        <x:v>未開始</x:v>
      </x:c>
      <x:c r="G90" s="38"/>
      <x:c r="H90" s="38"/>
      <x:c r="I90" s="44" t="n">
        <x:v>0</x:v>
      </x:c>
      <x:c r="J90" s="38" t="str"/>
      <x:c r="K90" s="38" t="str"/>
      <x:c r="L90" s="38" t="str"/>
      <x:c r="M90" s="38" t="str"/>
      <x:c r="N90" s="38" t="str"/>
      <x:c r="O90" s="38" t="str"/>
      <x:c r="P90" s="38" t="str"/>
      <x:c r="Q90" s="38" t="str"/>
      <x:c r="R90" s="46"/>
    </x:row>
    <x:row r="91" ht="46" customHeight="1">
      <x:c r="A91" s="38" t="n">
        <x:v>90</x:v>
      </x:c>
      <x:c r="B91" s="38" t="str">
        <x:v>M06 Maker Lab：micro:bit 電子與感測</x:v>
      </x:c>
      <x:c r="C91" s="38" t="str">
        <x:v>資料記錄：環境偵探</x:v>
      </x:c>
      <x:c r="D91" s="42"/>
      <x:c r="E91" s="42"/>
      <x:c r="F91" s="38" t="str">
        <x:v>未開始</x:v>
      </x:c>
      <x:c r="G91" s="38"/>
      <x:c r="H91" s="38"/>
      <x:c r="I91" s="44" t="n">
        <x:v>0</x:v>
      </x:c>
      <x:c r="J91" s="38" t="str"/>
      <x:c r="K91" s="38" t="str"/>
      <x:c r="L91" s="38" t="str"/>
      <x:c r="M91" s="38" t="str"/>
      <x:c r="N91" s="38" t="str"/>
      <x:c r="O91" s="38" t="str"/>
      <x:c r="P91" s="38" t="str"/>
      <x:c r="Q91" s="38" t="str"/>
      <x:c r="R91" s="46"/>
    </x:row>
    <x:row r="92" ht="46" customHeight="1">
      <x:c r="A92" s="38" t="n">
        <x:v>91</x:v>
      </x:c>
      <x:c r="B92" s="38" t="str">
        <x:v>M06 Maker Lab：micro:bit 電子與感測</x:v>
      </x:c>
      <x:c r="C92" s="38" t="str">
        <x:v>從積木切換到 Python</x:v>
      </x:c>
      <x:c r="D92" s="42"/>
      <x:c r="E92" s="42"/>
      <x:c r="F92" s="38" t="str">
        <x:v>未開始</x:v>
      </x:c>
      <x:c r="G92" s="38"/>
      <x:c r="H92" s="38"/>
      <x:c r="I92" s="44" t="n">
        <x:v>0</x:v>
      </x:c>
      <x:c r="J92" s="38" t="str"/>
      <x:c r="K92" s="38" t="str"/>
      <x:c r="L92" s="38" t="str"/>
      <x:c r="M92" s="38" t="str"/>
      <x:c r="N92" s="38" t="str"/>
      <x:c r="O92" s="38" t="str"/>
      <x:c r="P92" s="38" t="str"/>
      <x:c r="Q92" s="38" t="str"/>
      <x:c r="R92" s="46"/>
    </x:row>
    <x:row r="93" ht="46" customHeight="1">
      <x:c r="A93" s="38" t="n">
        <x:v>92</x:v>
      </x:c>
      <x:c r="B93" s="38" t="str">
        <x:v>M06 Maker Lab：micro:bit 電子與感測</x:v>
      </x:c>
      <x:c r="C93" s="38" t="str">
        <x:v>狀態機：裝置現在在做什麼</x:v>
      </x:c>
      <x:c r="D93" s="42"/>
      <x:c r="E93" s="42"/>
      <x:c r="F93" s="38" t="str">
        <x:v>未開始</x:v>
      </x:c>
      <x:c r="G93" s="38"/>
      <x:c r="H93" s="38"/>
      <x:c r="I93" s="44" t="n">
        <x:v>0</x:v>
      </x:c>
      <x:c r="J93" s="38" t="str"/>
      <x:c r="K93" s="38" t="str"/>
      <x:c r="L93" s="38" t="str"/>
      <x:c r="M93" s="38" t="str"/>
      <x:c r="N93" s="38" t="str"/>
      <x:c r="O93" s="38" t="str"/>
      <x:c r="P93" s="38" t="str"/>
      <x:c r="Q93" s="38" t="str"/>
      <x:c r="R93" s="46"/>
    </x:row>
    <x:row r="94" ht="46" customHeight="1">
      <x:c r="A94" s="38" t="n">
        <x:v>93</x:v>
      </x:c>
      <x:c r="B94" s="38" t="str">
        <x:v>M06 Maker Lab：micro:bit 電子與感測</x:v>
      </x:c>
      <x:c r="C94" s="38" t="str">
        <x:v>可穿戴裝置企劃</x:v>
      </x:c>
      <x:c r="D94" s="42"/>
      <x:c r="E94" s="42"/>
      <x:c r="F94" s="38" t="str">
        <x:v>未開始</x:v>
      </x:c>
      <x:c r="G94" s="38"/>
      <x:c r="H94" s="38"/>
      <x:c r="I94" s="44" t="n">
        <x:v>0</x:v>
      </x:c>
      <x:c r="J94" s="38" t="str"/>
      <x:c r="K94" s="38" t="str"/>
      <x:c r="L94" s="38" t="str"/>
      <x:c r="M94" s="38" t="str"/>
      <x:c r="N94" s="38" t="str"/>
      <x:c r="O94" s="38" t="str"/>
      <x:c r="P94" s="38" t="str"/>
      <x:c r="Q94" s="38" t="str"/>
      <x:c r="R94" s="46"/>
    </x:row>
    <x:row r="95" ht="46" customHeight="1">
      <x:c r="A95" s="38" t="n">
        <x:v>94</x:v>
      </x:c>
      <x:c r="B95" s="38" t="str">
        <x:v>M06 Maker Lab：micro:bit 電子與感測</x:v>
      </x:c>
      <x:c r="C95" s="38" t="str">
        <x:v>智慧房間原型</x:v>
      </x:c>
      <x:c r="D95" s="42"/>
      <x:c r="E95" s="42"/>
      <x:c r="F95" s="38" t="str">
        <x:v>未開始</x:v>
      </x:c>
      <x:c r="G95" s="38"/>
      <x:c r="H95" s="38"/>
      <x:c r="I95" s="44" t="n">
        <x:v>0</x:v>
      </x:c>
      <x:c r="J95" s="38" t="str"/>
      <x:c r="K95" s="38" t="str"/>
      <x:c r="L95" s="38" t="str"/>
      <x:c r="M95" s="38" t="str"/>
      <x:c r="N95" s="38" t="str"/>
      <x:c r="O95" s="38" t="str"/>
      <x:c r="P95" s="38" t="str"/>
      <x:c r="Q95" s="38" t="str"/>
      <x:c r="R95" s="46"/>
    </x:row>
    <x:row r="96" ht="46" customHeight="1">
      <x:c r="A96" s="38" t="n">
        <x:v>95</x:v>
      </x:c>
      <x:c r="B96" s="38" t="str">
        <x:v>M06 Maker Lab：micro:bit 電子與感測</x:v>
      </x:c>
      <x:c r="C96" s="38" t="str">
        <x:v>壓力測試與故障排除</x:v>
      </x:c>
      <x:c r="D96" s="42"/>
      <x:c r="E96" s="42"/>
      <x:c r="F96" s="38" t="str">
        <x:v>未開始</x:v>
      </x:c>
      <x:c r="G96" s="38"/>
      <x:c r="H96" s="38"/>
      <x:c r="I96" s="44" t="n">
        <x:v>0</x:v>
      </x:c>
      <x:c r="J96" s="38" t="str"/>
      <x:c r="K96" s="38" t="str"/>
      <x:c r="L96" s="38" t="str"/>
      <x:c r="M96" s="38" t="str"/>
      <x:c r="N96" s="38" t="str"/>
      <x:c r="O96" s="38" t="str"/>
      <x:c r="P96" s="38" t="str"/>
      <x:c r="Q96" s="38" t="str"/>
      <x:c r="R96" s="46"/>
    </x:row>
    <x:row r="97" ht="46" customHeight="1">
      <x:c r="A97" s="38" t="n">
        <x:v>96</x:v>
      </x:c>
      <x:c r="B97" s="38" t="str">
        <x:v>M06 Maker Lab：micro:bit 電子與感測</x:v>
      </x:c>
      <x:c r="C97" s="38" t="str">
        <x:v>家庭 Maker Faire</x:v>
      </x:c>
      <x:c r="D97" s="42"/>
      <x:c r="E97" s="42"/>
      <x:c r="F97" s="38" t="str">
        <x:v>未開始</x:v>
      </x:c>
      <x:c r="G97" s="38"/>
      <x:c r="H97" s="38"/>
      <x:c r="I97" s="44" t="n">
        <x:v>0</x:v>
      </x:c>
      <x:c r="J97" s="38" t="str"/>
      <x:c r="K97" s="38" t="str"/>
      <x:c r="L97" s="38" t="str"/>
      <x:c r="M97" s="38" t="str"/>
      <x:c r="N97" s="38" t="str"/>
      <x:c r="O97" s="38" t="str"/>
      <x:c r="P97" s="38" t="str"/>
      <x:c r="Q97" s="38" t="str"/>
      <x:c r="R97" s="46"/>
    </x:row>
    <x:row r="98" ht="46" customHeight="1">
      <x:c r="A98" s="38" t="n">
        <x:v>97</x:v>
      </x:c>
      <x:c r="B98" s="38" t="str">
        <x:v>M07 Python 進階、Git 與軟體工程</x:v>
      </x:c>
      <x:c r="C98" s="38" t="str">
        <x:v>Terminal 不可怕：檔案系統指令</x:v>
      </x:c>
      <x:c r="D98" s="42"/>
      <x:c r="E98" s="42"/>
      <x:c r="F98" s="38" t="str">
        <x:v>未開始</x:v>
      </x:c>
      <x:c r="G98" s="38"/>
      <x:c r="H98" s="38"/>
      <x:c r="I98" s="44" t="n">
        <x:v>0</x:v>
      </x:c>
      <x:c r="J98" s="38" t="str"/>
      <x:c r="K98" s="38" t="str"/>
      <x:c r="L98" s="38" t="str"/>
      <x:c r="M98" s="38" t="str"/>
      <x:c r="N98" s="38" t="str"/>
      <x:c r="O98" s="38" t="str"/>
      <x:c r="P98" s="38" t="str"/>
      <x:c r="Q98" s="38" t="str"/>
      <x:c r="R98" s="46"/>
    </x:row>
    <x:row r="99" ht="46" customHeight="1">
      <x:c r="A99" s="38" t="n">
        <x:v>98</x:v>
      </x:c>
      <x:c r="B99" s="38" t="str">
        <x:v>M07 Python 進階、Git 與軟體工程</x:v>
      </x:c>
      <x:c r="C99" s="38" t="str">
        <x:v>Git 的時間機器模型</x:v>
      </x:c>
      <x:c r="D99" s="42"/>
      <x:c r="E99" s="42"/>
      <x:c r="F99" s="38" t="str">
        <x:v>未開始</x:v>
      </x:c>
      <x:c r="G99" s="38"/>
      <x:c r="H99" s="38"/>
      <x:c r="I99" s="44" t="n">
        <x:v>0</x:v>
      </x:c>
      <x:c r="J99" s="38" t="str"/>
      <x:c r="K99" s="38" t="str"/>
      <x:c r="L99" s="38" t="str"/>
      <x:c r="M99" s="38" t="str"/>
      <x:c r="N99" s="38" t="str"/>
      <x:c r="O99" s="38" t="str"/>
      <x:c r="P99" s="38" t="str"/>
      <x:c r="Q99" s="38" t="str"/>
      <x:c r="R99" s="46"/>
    </x:row>
    <x:row r="100" ht="46" customHeight="1">
      <x:c r="A100" s="38" t="n">
        <x:v>99</x:v>
      </x:c>
      <x:c r="B100" s="38" t="str">
        <x:v>M07 Python 進階、Git 與軟體工程</x:v>
      </x:c>
      <x:c r="C100" s="38" t="str">
        <x:v>GitHub Repository 與 README</x:v>
      </x:c>
      <x:c r="D100" s="42"/>
      <x:c r="E100" s="42"/>
      <x:c r="F100" s="38" t="str">
        <x:v>未開始</x:v>
      </x:c>
      <x:c r="G100" s="38"/>
      <x:c r="H100" s="38"/>
      <x:c r="I100" s="44" t="n">
        <x:v>0</x:v>
      </x:c>
      <x:c r="J100" s="38" t="str"/>
      <x:c r="K100" s="38" t="str"/>
      <x:c r="L100" s="38" t="str"/>
      <x:c r="M100" s="38" t="str"/>
      <x:c r="N100" s="38" t="str"/>
      <x:c r="O100" s="38" t="str"/>
      <x:c r="P100" s="38" t="str"/>
      <x:c r="Q100" s="38" t="str"/>
      <x:c r="R100" s="46"/>
    </x:row>
    <x:row r="101" ht="46" customHeight="1">
      <x:c r="A101" s="38" t="n">
        <x:v>100</x:v>
      </x:c>
      <x:c r="B101" s="38" t="str">
        <x:v>M07 Python 進階、Git 與軟體工程</x:v>
      </x:c>
      <x:c r="C101" s="38" t="str">
        <x:v>Commit：一次只說清楚一件事</x:v>
      </x:c>
      <x:c r="D101" s="42"/>
      <x:c r="E101" s="42"/>
      <x:c r="F101" s="38" t="str">
        <x:v>未開始</x:v>
      </x:c>
      <x:c r="G101" s="38"/>
      <x:c r="H101" s="38"/>
      <x:c r="I101" s="44" t="n">
        <x:v>0</x:v>
      </x:c>
      <x:c r="J101" s="38" t="str"/>
      <x:c r="K101" s="38" t="str"/>
      <x:c r="L101" s="38" t="str"/>
      <x:c r="M101" s="38" t="str"/>
      <x:c r="N101" s="38" t="str"/>
      <x:c r="O101" s="38" t="str"/>
      <x:c r="P101" s="38" t="str"/>
      <x:c r="Q101" s="38" t="str"/>
      <x:c r="R101" s="46"/>
    </x:row>
    <x:row r="102" ht="46" customHeight="1">
      <x:c r="A102" s="38" t="n">
        <x:v>101</x:v>
      </x:c>
      <x:c r="B102" s="38" t="str">
        <x:v>M07 Python 進階、Git 與軟體工程</x:v>
      </x:c>
      <x:c r="C102" s="38" t="str">
        <x:v>Branch：安全地試新點子</x:v>
      </x:c>
      <x:c r="D102" s="42"/>
      <x:c r="E102" s="42"/>
      <x:c r="F102" s="38" t="str">
        <x:v>未開始</x:v>
      </x:c>
      <x:c r="G102" s="38"/>
      <x:c r="H102" s="38"/>
      <x:c r="I102" s="44" t="n">
        <x:v>0</x:v>
      </x:c>
      <x:c r="J102" s="38" t="str"/>
      <x:c r="K102" s="38" t="str"/>
      <x:c r="L102" s="38" t="str"/>
      <x:c r="M102" s="38" t="str"/>
      <x:c r="N102" s="38" t="str"/>
      <x:c r="O102" s="38" t="str"/>
      <x:c r="P102" s="38" t="str"/>
      <x:c r="Q102" s="38" t="str"/>
      <x:c r="R102" s="46"/>
    </x:row>
    <x:row r="103" ht="46" customHeight="1">
      <x:c r="A103" s="38" t="n">
        <x:v>102</x:v>
      </x:c>
      <x:c r="B103" s="38" t="str">
        <x:v>M07 Python 進階、Git 與軟體工程</x:v>
      </x:c>
      <x:c r="C103" s="38" t="str">
        <x:v>Issue、任務與完成定義</x:v>
      </x:c>
      <x:c r="D103" s="42"/>
      <x:c r="E103" s="42"/>
      <x:c r="F103" s="38" t="str">
        <x:v>未開始</x:v>
      </x:c>
      <x:c r="G103" s="38"/>
      <x:c r="H103" s="38"/>
      <x:c r="I103" s="44" t="n">
        <x:v>0</x:v>
      </x:c>
      <x:c r="J103" s="38" t="str"/>
      <x:c r="K103" s="38" t="str"/>
      <x:c r="L103" s="38" t="str"/>
      <x:c r="M103" s="38" t="str"/>
      <x:c r="N103" s="38" t="str"/>
      <x:c r="O103" s="38" t="str"/>
      <x:c r="P103" s="38" t="str"/>
      <x:c r="Q103" s="38" t="str"/>
      <x:c r="R103" s="46"/>
    </x:row>
    <x:row r="104" ht="46" customHeight="1">
      <x:c r="A104" s="38" t="n">
        <x:v>103</x:v>
      </x:c>
      <x:c r="B104" s="38" t="str">
        <x:v>M07 Python 進階、Git 與軟體工程</x:v>
      </x:c>
      <x:c r="C104" s="38" t="str">
        <x:v>Python Modules 與專案結構</x:v>
      </x:c>
      <x:c r="D104" s="42"/>
      <x:c r="E104" s="42"/>
      <x:c r="F104" s="38" t="str">
        <x:v>未開始</x:v>
      </x:c>
      <x:c r="G104" s="38"/>
      <x:c r="H104" s="38"/>
      <x:c r="I104" s="44" t="n">
        <x:v>0</x:v>
      </x:c>
      <x:c r="J104" s="38" t="str"/>
      <x:c r="K104" s="38" t="str"/>
      <x:c r="L104" s="38" t="str"/>
      <x:c r="M104" s="38" t="str"/>
      <x:c r="N104" s="38" t="str"/>
      <x:c r="O104" s="38" t="str"/>
      <x:c r="P104" s="38" t="str"/>
      <x:c r="Q104" s="38" t="str"/>
      <x:c r="R104" s="46"/>
    </x:row>
    <x:row r="105" ht="46" customHeight="1">
      <x:c r="A105" s="38" t="n">
        <x:v>104</x:v>
      </x:c>
      <x:c r="B105" s="38" t="str">
        <x:v>M07 Python 進階、Git 與軟體工程</x:v>
      </x:c>
      <x:c r="C105" s="38" t="str">
        <x:v>Class 與物件：會保存狀態的角色</x:v>
      </x:c>
      <x:c r="D105" s="42"/>
      <x:c r="E105" s="42"/>
      <x:c r="F105" s="38" t="str">
        <x:v>未開始</x:v>
      </x:c>
      <x:c r="G105" s="38"/>
      <x:c r="H105" s="38"/>
      <x:c r="I105" s="44" t="n">
        <x:v>0</x:v>
      </x:c>
      <x:c r="J105" s="38" t="str"/>
      <x:c r="K105" s="38" t="str"/>
      <x:c r="L105" s="38" t="str"/>
      <x:c r="M105" s="38" t="str"/>
      <x:c r="N105" s="38" t="str"/>
      <x:c r="O105" s="38" t="str"/>
      <x:c r="P105" s="38" t="str"/>
      <x:c r="Q105" s="38" t="str"/>
      <x:c r="R105" s="46"/>
    </x:row>
    <x:row r="106" ht="46" customHeight="1">
      <x:c r="A106" s="38" t="n">
        <x:v>105</x:v>
      </x:c>
      <x:c r="B106" s="38" t="str">
        <x:v>M07 Python 進階、Git 與軟體工程</x:v>
      </x:c>
      <x:c r="C106" s="38" t="str">
        <x:v>測試：程式如何證明自己沒壞</x:v>
      </x:c>
      <x:c r="D106" s="42"/>
      <x:c r="E106" s="42"/>
      <x:c r="F106" s="38" t="str">
        <x:v>未開始</x:v>
      </x:c>
      <x:c r="G106" s="38"/>
      <x:c r="H106" s="38"/>
      <x:c r="I106" s="44" t="n">
        <x:v>0</x:v>
      </x:c>
      <x:c r="J106" s="38" t="str"/>
      <x:c r="K106" s="38" t="str"/>
      <x:c r="L106" s="38" t="str"/>
      <x:c r="M106" s="38" t="str"/>
      <x:c r="N106" s="38" t="str"/>
      <x:c r="O106" s="38" t="str"/>
      <x:c r="P106" s="38" t="str"/>
      <x:c r="Q106" s="38" t="str"/>
      <x:c r="R106" s="46"/>
    </x:row>
    <x:row r="107" ht="46" customHeight="1">
      <x:c r="A107" s="38" t="n">
        <x:v>106</x:v>
      </x:c>
      <x:c r="B107" s="38" t="str">
        <x:v>M07 Python 進階、Git 與軟體工程</x:v>
      </x:c>
      <x:c r="C107" s="38" t="str">
        <x:v>Debug 與 Logging：留下線索</x:v>
      </x:c>
      <x:c r="D107" s="42"/>
      <x:c r="E107" s="42"/>
      <x:c r="F107" s="38" t="str">
        <x:v>未開始</x:v>
      </x:c>
      <x:c r="G107" s="38"/>
      <x:c r="H107" s="38"/>
      <x:c r="I107" s="44" t="n">
        <x:v>0</x:v>
      </x:c>
      <x:c r="J107" s="38" t="str"/>
      <x:c r="K107" s="38" t="str"/>
      <x:c r="L107" s="38" t="str"/>
      <x:c r="M107" s="38" t="str"/>
      <x:c r="N107" s="38" t="str"/>
      <x:c r="O107" s="38" t="str"/>
      <x:c r="P107" s="38" t="str"/>
      <x:c r="Q107" s="38" t="str"/>
      <x:c r="R107" s="46"/>
    </x:row>
    <x:row r="108" ht="46" customHeight="1">
      <x:c r="A108" s="38" t="n">
        <x:v>107</x:v>
      </x:c>
      <x:c r="B108" s="38" t="str">
        <x:v>M07 Python 進階、Git 與軟體工程</x:v>
      </x:c>
      <x:c r="C108" s="38" t="str">
        <x:v>演算法競賽：更快不一定更好</x:v>
      </x:c>
      <x:c r="D108" s="42"/>
      <x:c r="E108" s="42"/>
      <x:c r="F108" s="38" t="str">
        <x:v>未開始</x:v>
      </x:c>
      <x:c r="G108" s="38"/>
      <x:c r="H108" s="38"/>
      <x:c r="I108" s="44" t="n">
        <x:v>0</x:v>
      </x:c>
      <x:c r="J108" s="38" t="str"/>
      <x:c r="K108" s="38" t="str"/>
      <x:c r="L108" s="38" t="str"/>
      <x:c r="M108" s="38" t="str"/>
      <x:c r="N108" s="38" t="str"/>
      <x:c r="O108" s="38" t="str"/>
      <x:c r="P108" s="38" t="str"/>
      <x:c r="Q108" s="38" t="str"/>
      <x:c r="R108" s="46"/>
    </x:row>
    <x:row r="109" ht="46" customHeight="1">
      <x:c r="A109" s="38" t="n">
        <x:v>108</x:v>
      </x:c>
      <x:c r="B109" s="38" t="str">
        <x:v>M07 Python 進階、Git 與軟體工程</x:v>
      </x:c>
      <x:c r="C109" s="38" t="str">
        <x:v>資料結構選擇：list、dict、set、queue</x:v>
      </x:c>
      <x:c r="D109" s="42"/>
      <x:c r="E109" s="42"/>
      <x:c r="F109" s="38" t="str">
        <x:v>未開始</x:v>
      </x:c>
      <x:c r="G109" s="38"/>
      <x:c r="H109" s="38"/>
      <x:c r="I109" s="44" t="n">
        <x:v>0</x:v>
      </x:c>
      <x:c r="J109" s="38" t="str"/>
      <x:c r="K109" s="38" t="str"/>
      <x:c r="L109" s="38" t="str"/>
      <x:c r="M109" s="38" t="str"/>
      <x:c r="N109" s="38" t="str"/>
      <x:c r="O109" s="38" t="str"/>
      <x:c r="P109" s="38" t="str"/>
      <x:c r="Q109" s="38" t="str"/>
      <x:c r="R109" s="46"/>
    </x:row>
    <x:row r="110" ht="46" customHeight="1">
      <x:c r="A110" s="38" t="n">
        <x:v>109</x:v>
      </x:c>
      <x:c r="B110" s="38" t="str">
        <x:v>M07 Python 進階、Git 與軟體工程</x:v>
      </x:c>
      <x:c r="C110" s="38" t="str">
        <x:v>和 AI Pair Programming</x:v>
      </x:c>
      <x:c r="D110" s="42"/>
      <x:c r="E110" s="42"/>
      <x:c r="F110" s="38" t="str">
        <x:v>未開始</x:v>
      </x:c>
      <x:c r="G110" s="38"/>
      <x:c r="H110" s="38"/>
      <x:c r="I110" s="44" t="n">
        <x:v>0</x:v>
      </x:c>
      <x:c r="J110" s="38" t="str"/>
      <x:c r="K110" s="38" t="str"/>
      <x:c r="L110" s="38" t="str"/>
      <x:c r="M110" s="38" t="str"/>
      <x:c r="N110" s="38" t="str"/>
      <x:c r="O110" s="38" t="str"/>
      <x:c r="P110" s="38" t="str"/>
      <x:c r="Q110" s="38" t="str"/>
      <x:c r="R110" s="46"/>
    </x:row>
    <x:row r="111" ht="46" customHeight="1">
      <x:c r="A111" s="38" t="n">
        <x:v>110</x:v>
      </x:c>
      <x:c r="B111" s="38" t="str">
        <x:v>M07 Python 進階、Git 與軟體工程</x:v>
      </x:c>
      <x:c r="C111" s="38" t="str">
        <x:v>CLI 工具企劃：解決一個真問題</x:v>
      </x:c>
      <x:c r="D111" s="42"/>
      <x:c r="E111" s="42"/>
      <x:c r="F111" s="38" t="str">
        <x:v>未開始</x:v>
      </x:c>
      <x:c r="G111" s="38"/>
      <x:c r="H111" s="38"/>
      <x:c r="I111" s="44" t="n">
        <x:v>0</x:v>
      </x:c>
      <x:c r="J111" s="38" t="str"/>
      <x:c r="K111" s="38" t="str"/>
      <x:c r="L111" s="38" t="str"/>
      <x:c r="M111" s="38" t="str"/>
      <x:c r="N111" s="38" t="str"/>
      <x:c r="O111" s="38" t="str"/>
      <x:c r="P111" s="38" t="str"/>
      <x:c r="Q111" s="38" t="str"/>
      <x:c r="R111" s="46"/>
    </x:row>
    <x:row r="112" ht="46" customHeight="1">
      <x:c r="A112" s="38" t="n">
        <x:v>111</x:v>
      </x:c>
      <x:c r="B112" s="38" t="str">
        <x:v>M07 Python 進階、Git 與軟體工程</x:v>
      </x:c>
      <x:c r="C112" s="38" t="str">
        <x:v>Code Review 與 Release Candidate</x:v>
      </x:c>
      <x:c r="D112" s="42"/>
      <x:c r="E112" s="42"/>
      <x:c r="F112" s="38" t="str">
        <x:v>未開始</x:v>
      </x:c>
      <x:c r="G112" s="38"/>
      <x:c r="H112" s="38"/>
      <x:c r="I112" s="44" t="n">
        <x:v>0</x:v>
      </x:c>
      <x:c r="J112" s="38" t="str"/>
      <x:c r="K112" s="38" t="str"/>
      <x:c r="L112" s="38" t="str"/>
      <x:c r="M112" s="38" t="str"/>
      <x:c r="N112" s="38" t="str"/>
      <x:c r="O112" s="38" t="str"/>
      <x:c r="P112" s="38" t="str"/>
      <x:c r="Q112" s="38" t="str"/>
      <x:c r="R112" s="46"/>
    </x:row>
    <x:row r="113" ht="46" customHeight="1">
      <x:c r="A113" s="38" t="n">
        <x:v>112</x:v>
      </x:c>
      <x:c r="B113" s="38" t="str">
        <x:v>M07 Python 進階、Git 與軟體工程</x:v>
      </x:c>
      <x:c r="C113" s="38" t="str">
        <x:v>發布 v1.0 與回顧</x:v>
      </x:c>
      <x:c r="D113" s="42"/>
      <x:c r="E113" s="42"/>
      <x:c r="F113" s="38" t="str">
        <x:v>未開始</x:v>
      </x:c>
      <x:c r="G113" s="38"/>
      <x:c r="H113" s="38"/>
      <x:c r="I113" s="44" t="n">
        <x:v>0</x:v>
      </x:c>
      <x:c r="J113" s="38" t="str"/>
      <x:c r="K113" s="38" t="str"/>
      <x:c r="L113" s="38" t="str"/>
      <x:c r="M113" s="38" t="str"/>
      <x:c r="N113" s="38" t="str"/>
      <x:c r="O113" s="38" t="str"/>
      <x:c r="P113" s="38" t="str"/>
      <x:c r="Q113" s="38" t="str"/>
      <x:c r="R113" s="46"/>
    </x:row>
    <x:row r="114" ht="46" customHeight="1">
      <x:c r="A114" s="38" t="n">
        <x:v>113</x:v>
      </x:c>
      <x:c r="B114" s="38" t="str">
        <x:v>M08 資料科學與電池／能源探險</x:v>
      </x:c>
      <x:c r="C114" s="38" t="str">
        <x:v>資料從哪裡來：量測就是提問</x:v>
      </x:c>
      <x:c r="D114" s="42"/>
      <x:c r="E114" s="42"/>
      <x:c r="F114" s="38" t="str">
        <x:v>未開始</x:v>
      </x:c>
      <x:c r="G114" s="38"/>
      <x:c r="H114" s="38"/>
      <x:c r="I114" s="44" t="n">
        <x:v>0</x:v>
      </x:c>
      <x:c r="J114" s="38" t="str"/>
      <x:c r="K114" s="38" t="str"/>
      <x:c r="L114" s="38" t="str"/>
      <x:c r="M114" s="38" t="str"/>
      <x:c r="N114" s="38" t="str"/>
      <x:c r="O114" s="38" t="str"/>
      <x:c r="P114" s="38" t="str"/>
      <x:c r="Q114" s="38" t="str"/>
      <x:c r="R114" s="46"/>
    </x:row>
    <x:row r="115" ht="46" customHeight="1">
      <x:c r="A115" s="38" t="n">
        <x:v>114</x:v>
      </x:c>
      <x:c r="B115" s="38" t="str">
        <x:v>M08 資料科學與電池／能源探險</x:v>
      </x:c>
      <x:c r="C115" s="38" t="str">
        <x:v>CSV 與表格：機器喜歡整齊</x:v>
      </x:c>
      <x:c r="D115" s="42"/>
      <x:c r="E115" s="42"/>
      <x:c r="F115" s="38" t="str">
        <x:v>未開始</x:v>
      </x:c>
      <x:c r="G115" s="38"/>
      <x:c r="H115" s="38"/>
      <x:c r="I115" s="44" t="n">
        <x:v>0</x:v>
      </x:c>
      <x:c r="J115" s="38" t="str"/>
      <x:c r="K115" s="38" t="str"/>
      <x:c r="L115" s="38" t="str"/>
      <x:c r="M115" s="38" t="str"/>
      <x:c r="N115" s="38" t="str"/>
      <x:c r="O115" s="38" t="str"/>
      <x:c r="P115" s="38" t="str"/>
      <x:c r="Q115" s="38" t="str"/>
      <x:c r="R115" s="46"/>
    </x:row>
    <x:row r="116" ht="46" customHeight="1">
      <x:c r="A116" s="38" t="n">
        <x:v>115</x:v>
      </x:c>
      <x:c r="B116" s="38" t="str">
        <x:v>M08 資料科學與電池／能源探險</x:v>
      </x:c>
      <x:c r="C116" s="38" t="str">
        <x:v>試算表公式：讓資料自己算</x:v>
      </x:c>
      <x:c r="D116" s="42"/>
      <x:c r="E116" s="42"/>
      <x:c r="F116" s="38" t="str">
        <x:v>未開始</x:v>
      </x:c>
      <x:c r="G116" s="38"/>
      <x:c r="H116" s="38"/>
      <x:c r="I116" s="44" t="n">
        <x:v>0</x:v>
      </x:c>
      <x:c r="J116" s="38" t="str"/>
      <x:c r="K116" s="38" t="str"/>
      <x:c r="L116" s="38" t="str"/>
      <x:c r="M116" s="38" t="str"/>
      <x:c r="N116" s="38" t="str"/>
      <x:c r="O116" s="38" t="str"/>
      <x:c r="P116" s="38" t="str"/>
      <x:c r="Q116" s="38" t="str"/>
      <x:c r="R116" s="46"/>
    </x:row>
    <x:row r="117" ht="46" customHeight="1">
      <x:c r="A117" s="38" t="n">
        <x:v>116</x:v>
      </x:c>
      <x:c r="B117" s="38" t="str">
        <x:v>M08 資料科學與電池／能源探險</x:v>
      </x:c>
      <x:c r="C117" s="38" t="str">
        <x:v>平均數不是唯一答案</x:v>
      </x:c>
      <x:c r="D117" s="42"/>
      <x:c r="E117" s="42"/>
      <x:c r="F117" s="38" t="str">
        <x:v>未開始</x:v>
      </x:c>
      <x:c r="G117" s="38"/>
      <x:c r="H117" s="38"/>
      <x:c r="I117" s="44" t="n">
        <x:v>0</x:v>
      </x:c>
      <x:c r="J117" s="38" t="str"/>
      <x:c r="K117" s="38" t="str"/>
      <x:c r="L117" s="38" t="str"/>
      <x:c r="M117" s="38" t="str"/>
      <x:c r="N117" s="38" t="str"/>
      <x:c r="O117" s="38" t="str"/>
      <x:c r="P117" s="38" t="str"/>
      <x:c r="Q117" s="38" t="str"/>
      <x:c r="R117" s="46"/>
    </x:row>
    <x:row r="118" ht="46" customHeight="1">
      <x:c r="A118" s="38" t="n">
        <x:v>117</x:v>
      </x:c>
      <x:c r="B118" s="38" t="str">
        <x:v>M08 資料科學與電池／能源探險</x:v>
      </x:c>
      <x:c r="C118" s="38" t="str">
        <x:v>圖表會說話，也會騙人</x:v>
      </x:c>
      <x:c r="D118" s="42"/>
      <x:c r="E118" s="42"/>
      <x:c r="F118" s="38" t="str">
        <x:v>未開始</x:v>
      </x:c>
      <x:c r="G118" s="38"/>
      <x:c r="H118" s="38"/>
      <x:c r="I118" s="44" t="n">
        <x:v>0</x:v>
      </x:c>
      <x:c r="J118" s="38" t="str"/>
      <x:c r="K118" s="38" t="str"/>
      <x:c r="L118" s="38" t="str"/>
      <x:c r="M118" s="38" t="str"/>
      <x:c r="N118" s="38" t="str"/>
      <x:c r="O118" s="38" t="str"/>
      <x:c r="P118" s="38" t="str"/>
      <x:c r="Q118" s="38" t="str"/>
      <x:c r="R118" s="46"/>
    </x:row>
    <x:row r="119" ht="46" customHeight="1">
      <x:c r="A119" s="38" t="n">
        <x:v>118</x:v>
      </x:c>
      <x:c r="B119" s="38" t="str">
        <x:v>M08 資料科學與電池／能源探險</x:v>
      </x:c>
      <x:c r="C119" s="38" t="str">
        <x:v>相關不等於因果</x:v>
      </x:c>
      <x:c r="D119" s="42"/>
      <x:c r="E119" s="42"/>
      <x:c r="F119" s="38" t="str">
        <x:v>未開始</x:v>
      </x:c>
      <x:c r="G119" s="38"/>
      <x:c r="H119" s="38"/>
      <x:c r="I119" s="44" t="n">
        <x:v>0</x:v>
      </x:c>
      <x:c r="J119" s="38" t="str"/>
      <x:c r="K119" s="38" t="str"/>
      <x:c r="L119" s="38" t="str"/>
      <x:c r="M119" s="38" t="str"/>
      <x:c r="N119" s="38" t="str"/>
      <x:c r="O119" s="38" t="str"/>
      <x:c r="P119" s="38" t="str"/>
      <x:c r="Q119" s="38" t="str"/>
      <x:c r="R119" s="46"/>
    </x:row>
    <x:row r="120" ht="46" customHeight="1">
      <x:c r="A120" s="38" t="n">
        <x:v>119</x:v>
      </x:c>
      <x:c r="B120" s="38" t="str">
        <x:v>M08 資料科學與電池／能源探險</x:v>
      </x:c>
      <x:c r="C120" s="38" t="str">
        <x:v>感測雜訊與移動平均</x:v>
      </x:c>
      <x:c r="D120" s="42"/>
      <x:c r="E120" s="42"/>
      <x:c r="F120" s="38" t="str">
        <x:v>未開始</x:v>
      </x:c>
      <x:c r="G120" s="38"/>
      <x:c r="H120" s="38"/>
      <x:c r="I120" s="44" t="n">
        <x:v>0</x:v>
      </x:c>
      <x:c r="J120" s="38" t="str"/>
      <x:c r="K120" s="38" t="str"/>
      <x:c r="L120" s="38" t="str"/>
      <x:c r="M120" s="38" t="str"/>
      <x:c r="N120" s="38" t="str"/>
      <x:c r="O120" s="38" t="str"/>
      <x:c r="P120" s="38" t="str"/>
      <x:c r="Q120" s="38" t="str"/>
      <x:c r="R120" s="46"/>
    </x:row>
    <x:row r="121" ht="46" customHeight="1">
      <x:c r="A121" s="38" t="n">
        <x:v>120</x:v>
      </x:c>
      <x:c r="B121" s="38" t="str">
        <x:v>M08 資料科學與電池／能源探險</x:v>
      </x:c>
      <x:c r="C121" s="38" t="str">
        <x:v>電池的三個基本訊號：V、I、T</x:v>
      </x:c>
      <x:c r="D121" s="42"/>
      <x:c r="E121" s="42"/>
      <x:c r="F121" s="38" t="str">
        <x:v>未開始</x:v>
      </x:c>
      <x:c r="G121" s="38"/>
      <x:c r="H121" s="38"/>
      <x:c r="I121" s="44" t="n">
        <x:v>0</x:v>
      </x:c>
      <x:c r="J121" s="38" t="str"/>
      <x:c r="K121" s="38" t="str"/>
      <x:c r="L121" s="38" t="str"/>
      <x:c r="M121" s="38" t="str"/>
      <x:c r="N121" s="38" t="str"/>
      <x:c r="O121" s="38" t="str"/>
      <x:c r="P121" s="38" t="str"/>
      <x:c r="Q121" s="38" t="str"/>
      <x:c r="R121" s="46"/>
    </x:row>
    <x:row r="122" ht="46" customHeight="1">
      <x:c r="A122" s="38" t="n">
        <x:v>121</x:v>
      </x:c>
      <x:c r="B122" s="38" t="str">
        <x:v>M08 資料科學與電池／能源探險</x:v>
      </x:c>
      <x:c r="C122" s="38" t="str">
        <x:v>SOC：還剩多少能量</x:v>
      </x:c>
      <x:c r="D122" s="42"/>
      <x:c r="E122" s="42"/>
      <x:c r="F122" s="38" t="str">
        <x:v>未開始</x:v>
      </x:c>
      <x:c r="G122" s="38"/>
      <x:c r="H122" s="38"/>
      <x:c r="I122" s="44" t="n">
        <x:v>0</x:v>
      </x:c>
      <x:c r="J122" s="38" t="str"/>
      <x:c r="K122" s="38" t="str"/>
      <x:c r="L122" s="38" t="str"/>
      <x:c r="M122" s="38" t="str"/>
      <x:c r="N122" s="38" t="str"/>
      <x:c r="O122" s="38" t="str"/>
      <x:c r="P122" s="38" t="str"/>
      <x:c r="Q122" s="38" t="str"/>
      <x:c r="R122" s="46"/>
    </x:row>
    <x:row r="123" ht="46" customHeight="1">
      <x:c r="A123" s="38" t="n">
        <x:v>122</x:v>
      </x:c>
      <x:c r="B123" s="38" t="str">
        <x:v>M08 資料科學與電池／能源探險</x:v>
      </x:c>
      <x:c r="C123" s="38" t="str">
        <x:v>SOH 與老化：新舊電池差在哪</x:v>
      </x:c>
      <x:c r="D123" s="42"/>
      <x:c r="E123" s="42"/>
      <x:c r="F123" s="38" t="str">
        <x:v>未開始</x:v>
      </x:c>
      <x:c r="G123" s="38"/>
      <x:c r="H123" s="38"/>
      <x:c r="I123" s="44" t="n">
        <x:v>0</x:v>
      </x:c>
      <x:c r="J123" s="38" t="str"/>
      <x:c r="K123" s="38" t="str"/>
      <x:c r="L123" s="38" t="str"/>
      <x:c r="M123" s="38" t="str"/>
      <x:c r="N123" s="38" t="str"/>
      <x:c r="O123" s="38" t="str"/>
      <x:c r="P123" s="38" t="str"/>
      <x:c r="Q123" s="38" t="str"/>
      <x:c r="R123" s="46"/>
    </x:row>
    <x:row r="124" ht="46" customHeight="1">
      <x:c r="A124" s="38" t="n">
        <x:v>123</x:v>
      </x:c>
      <x:c r="B124" s="38" t="str">
        <x:v>M08 資料科學與電池／能源探險</x:v>
      </x:c>
      <x:c r="C124" s="38" t="str">
        <x:v>充電曲線與功率限制</x:v>
      </x:c>
      <x:c r="D124" s="42"/>
      <x:c r="E124" s="42"/>
      <x:c r="F124" s="38" t="str">
        <x:v>未開始</x:v>
      </x:c>
      <x:c r="G124" s="38"/>
      <x:c r="H124" s="38"/>
      <x:c r="I124" s="44" t="n">
        <x:v>0</x:v>
      </x:c>
      <x:c r="J124" s="38" t="str"/>
      <x:c r="K124" s="38" t="str"/>
      <x:c r="L124" s="38" t="str"/>
      <x:c r="M124" s="38" t="str"/>
      <x:c r="N124" s="38" t="str"/>
      <x:c r="O124" s="38" t="str"/>
      <x:c r="P124" s="38" t="str"/>
      <x:c r="Q124" s="38" t="str"/>
      <x:c r="R124" s="46"/>
    </x:row>
    <x:row r="125" ht="46" customHeight="1">
      <x:c r="A125" s="38" t="n">
        <x:v>124</x:v>
      </x:c>
      <x:c r="B125" s="38" t="str">
        <x:v>M08 資料科學與電池／能源探險</x:v>
      </x:c>
      <x:c r="C125" s="38" t="str">
        <x:v>能量、功率與電費</x:v>
      </x:c>
      <x:c r="D125" s="42"/>
      <x:c r="E125" s="42"/>
      <x:c r="F125" s="38" t="str">
        <x:v>未開始</x:v>
      </x:c>
      <x:c r="G125" s="38"/>
      <x:c r="H125" s="38"/>
      <x:c r="I125" s="44" t="n">
        <x:v>0</x:v>
      </x:c>
      <x:c r="J125" s="38" t="str"/>
      <x:c r="K125" s="38" t="str"/>
      <x:c r="L125" s="38" t="str"/>
      <x:c r="M125" s="38" t="str"/>
      <x:c r="N125" s="38" t="str"/>
      <x:c r="O125" s="38" t="str"/>
      <x:c r="P125" s="38" t="str"/>
      <x:c r="Q125" s="38" t="str"/>
      <x:c r="R125" s="46"/>
    </x:row>
    <x:row r="126" ht="46" customHeight="1">
      <x:c r="A126" s="38" t="n">
        <x:v>125</x:v>
      </x:c>
      <x:c r="B126" s="38" t="str">
        <x:v>M08 資料科學與電池／能源探險</x:v>
      </x:c>
      <x:c r="C126" s="38" t="str">
        <x:v>Python 資料分析：讀檔、計算、畫圖</x:v>
      </x:c>
      <x:c r="D126" s="42"/>
      <x:c r="E126" s="42"/>
      <x:c r="F126" s="38" t="str">
        <x:v>未開始</x:v>
      </x:c>
      <x:c r="G126" s="38"/>
      <x:c r="H126" s="38"/>
      <x:c r="I126" s="44" t="n">
        <x:v>0</x:v>
      </x:c>
      <x:c r="J126" s="38" t="str"/>
      <x:c r="K126" s="38" t="str"/>
      <x:c r="L126" s="38" t="str"/>
      <x:c r="M126" s="38" t="str"/>
      <x:c r="N126" s="38" t="str"/>
      <x:c r="O126" s="38" t="str"/>
      <x:c r="P126" s="38" t="str"/>
      <x:c r="Q126" s="38" t="str"/>
      <x:c r="R126" s="46"/>
    </x:row>
    <x:row r="127" ht="46" customHeight="1">
      <x:c r="A127" s="38" t="n">
        <x:v>126</x:v>
      </x:c>
      <x:c r="B127" s="38" t="str">
        <x:v>M08 資料科學與電池／能源探險</x:v>
      </x:c>
      <x:c r="C127" s="38" t="str">
        <x:v>規則式異常偵測</x:v>
      </x:c>
      <x:c r="D127" s="42"/>
      <x:c r="E127" s="42"/>
      <x:c r="F127" s="38" t="str">
        <x:v>未開始</x:v>
      </x:c>
      <x:c r="G127" s="38"/>
      <x:c r="H127" s="38"/>
      <x:c r="I127" s="44" t="n">
        <x:v>0</x:v>
      </x:c>
      <x:c r="J127" s="38" t="str"/>
      <x:c r="K127" s="38" t="str"/>
      <x:c r="L127" s="38" t="str"/>
      <x:c r="M127" s="38" t="str"/>
      <x:c r="N127" s="38" t="str"/>
      <x:c r="O127" s="38" t="str"/>
      <x:c r="P127" s="38" t="str"/>
      <x:c r="Q127" s="38" t="str"/>
      <x:c r="R127" s="46"/>
    </x:row>
    <x:row r="128" ht="46" customHeight="1">
      <x:c r="A128" s="38" t="n">
        <x:v>127</x:v>
      </x:c>
      <x:c r="B128" s="38" t="str">
        <x:v>M08 資料科學與電池／能源探險</x:v>
      </x:c>
      <x:c r="C128" s="38" t="str">
        <x:v>資料儀表板：先回答問題再畫圖</x:v>
      </x:c>
      <x:c r="D128" s="42"/>
      <x:c r="E128" s="42"/>
      <x:c r="F128" s="38" t="str">
        <x:v>未開始</x:v>
      </x:c>
      <x:c r="G128" s="38"/>
      <x:c r="H128" s="38"/>
      <x:c r="I128" s="44" t="n">
        <x:v>0</x:v>
      </x:c>
      <x:c r="J128" s="38" t="str"/>
      <x:c r="K128" s="38" t="str"/>
      <x:c r="L128" s="38" t="str"/>
      <x:c r="M128" s="38" t="str"/>
      <x:c r="N128" s="38" t="str"/>
      <x:c r="O128" s="38" t="str"/>
      <x:c r="P128" s="38" t="str"/>
      <x:c r="Q128" s="38" t="str"/>
      <x:c r="R128" s="46"/>
    </x:row>
    <x:row r="129" ht="46" customHeight="1">
      <x:c r="A129" s="38" t="n">
        <x:v>128</x:v>
      </x:c>
      <x:c r="B129" s="38" t="str">
        <x:v>M08 資料科學與電池／能源探險</x:v>
      </x:c>
      <x:c r="C129" s="38" t="str">
        <x:v>能源科學展：結論有證據嗎</x:v>
      </x:c>
      <x:c r="D129" s="42"/>
      <x:c r="E129" s="42"/>
      <x:c r="F129" s="38" t="str">
        <x:v>未開始</x:v>
      </x:c>
      <x:c r="G129" s="38"/>
      <x:c r="H129" s="38"/>
      <x:c r="I129" s="44" t="n">
        <x:v>0</x:v>
      </x:c>
      <x:c r="J129" s="38" t="str"/>
      <x:c r="K129" s="38" t="str"/>
      <x:c r="L129" s="38" t="str"/>
      <x:c r="M129" s="38" t="str"/>
      <x:c r="N129" s="38" t="str"/>
      <x:c r="O129" s="38" t="str"/>
      <x:c r="P129" s="38" t="str"/>
      <x:c r="Q129" s="38" t="str"/>
      <x:c r="R129" s="46"/>
    </x:row>
    <x:row r="130" ht="46" customHeight="1">
      <x:c r="A130" s="38" t="n">
        <x:v>129</x:v>
      </x:c>
      <x:c r="B130" s="38" t="str">
        <x:v>M09 機器學習、生成式 AI 與責任</x:v>
      </x:c>
      <x:c r="C130" s="38" t="str">
        <x:v>規則還是學習：怎麼讓機器做判斷</x:v>
      </x:c>
      <x:c r="D130" s="42"/>
      <x:c r="E130" s="42"/>
      <x:c r="F130" s="38" t="str">
        <x:v>未開始</x:v>
      </x:c>
      <x:c r="G130" s="38"/>
      <x:c r="H130" s="38"/>
      <x:c r="I130" s="44" t="n">
        <x:v>0</x:v>
      </x:c>
      <x:c r="J130" s="38" t="str"/>
      <x:c r="K130" s="38" t="str"/>
      <x:c r="L130" s="38" t="str"/>
      <x:c r="M130" s="38" t="str"/>
      <x:c r="N130" s="38" t="str"/>
      <x:c r="O130" s="38" t="str"/>
      <x:c r="P130" s="38" t="str"/>
      <x:c r="Q130" s="38" t="str"/>
      <x:c r="R130" s="46"/>
    </x:row>
    <x:row r="131" ht="46" customHeight="1">
      <x:c r="A131" s="38" t="n">
        <x:v>130</x:v>
      </x:c>
      <x:c r="B131" s="38" t="str">
        <x:v>M09 機器學習、生成式 AI 與責任</x:v>
      </x:c>
      <x:c r="C131" s="38" t="str">
        <x:v>標籤與訓練資料：老師教錯會怎樣</x:v>
      </x:c>
      <x:c r="D131" s="42"/>
      <x:c r="E131" s="42"/>
      <x:c r="F131" s="38" t="str">
        <x:v>未開始</x:v>
      </x:c>
      <x:c r="G131" s="38"/>
      <x:c r="H131" s="38"/>
      <x:c r="I131" s="44" t="n">
        <x:v>0</x:v>
      </x:c>
      <x:c r="J131" s="38" t="str"/>
      <x:c r="K131" s="38" t="str"/>
      <x:c r="L131" s="38" t="str"/>
      <x:c r="M131" s="38" t="str"/>
      <x:c r="N131" s="38" t="str"/>
      <x:c r="O131" s="38" t="str"/>
      <x:c r="P131" s="38" t="str"/>
      <x:c r="Q131" s="38" t="str"/>
      <x:c r="R131" s="46"/>
    </x:row>
    <x:row r="132" ht="46" customHeight="1">
      <x:c r="A132" s="38" t="n">
        <x:v>131</x:v>
      </x:c>
      <x:c r="B132" s="38" t="str">
        <x:v>M09 機器學習、生成式 AI 與責任</x:v>
      </x:c>
      <x:c r="C132" s="38" t="str">
        <x:v>影像分類：教電腦認爸爸和物品</x:v>
      </x:c>
      <x:c r="D132" s="42"/>
      <x:c r="E132" s="42"/>
      <x:c r="F132" s="38" t="str">
        <x:v>未開始</x:v>
      </x:c>
      <x:c r="G132" s="38"/>
      <x:c r="H132" s="38"/>
      <x:c r="I132" s="44" t="n">
        <x:v>0</x:v>
      </x:c>
      <x:c r="J132" s="38" t="str"/>
      <x:c r="K132" s="38" t="str"/>
      <x:c r="L132" s="38" t="str"/>
      <x:c r="M132" s="38" t="str"/>
      <x:c r="N132" s="38" t="str"/>
      <x:c r="O132" s="38" t="str"/>
      <x:c r="P132" s="38" t="str"/>
      <x:c r="Q132" s="38" t="str"/>
      <x:c r="R132" s="46"/>
    </x:row>
    <x:row r="133" ht="46" customHeight="1">
      <x:c r="A133" s="38" t="n">
        <x:v>132</x:v>
      </x:c>
      <x:c r="B133" s="38" t="str">
        <x:v>M09 機器學習、生成式 AI 與責任</x:v>
      </x:c>
      <x:c r="C133" s="38" t="str">
        <x:v>聲音模型：掌聲、口令與背景噪音</x:v>
      </x:c>
      <x:c r="D133" s="42"/>
      <x:c r="E133" s="42"/>
      <x:c r="F133" s="38" t="str">
        <x:v>未開始</x:v>
      </x:c>
      <x:c r="G133" s="38"/>
      <x:c r="H133" s="38"/>
      <x:c r="I133" s="44" t="n">
        <x:v>0</x:v>
      </x:c>
      <x:c r="J133" s="38" t="str"/>
      <x:c r="K133" s="38" t="str"/>
      <x:c r="L133" s="38" t="str"/>
      <x:c r="M133" s="38" t="str"/>
      <x:c r="N133" s="38" t="str"/>
      <x:c r="O133" s="38" t="str"/>
      <x:c r="P133" s="38" t="str"/>
      <x:c r="Q133" s="38" t="str"/>
      <x:c r="R133" s="46"/>
    </x:row>
    <x:row r="134" ht="46" customHeight="1">
      <x:c r="A134" s="38" t="n">
        <x:v>133</x:v>
      </x:c>
      <x:c r="B134" s="38" t="str">
        <x:v>M09 機器學習、生成式 AI 與責任</x:v>
      </x:c>
      <x:c r="C134" s="38" t="str">
        <x:v>姿勢模型：人體就是控制器</x:v>
      </x:c>
      <x:c r="D134" s="42"/>
      <x:c r="E134" s="42"/>
      <x:c r="F134" s="38" t="str">
        <x:v>未開始</x:v>
      </x:c>
      <x:c r="G134" s="38"/>
      <x:c r="H134" s="38"/>
      <x:c r="I134" s="44" t="n">
        <x:v>0</x:v>
      </x:c>
      <x:c r="J134" s="38" t="str"/>
      <x:c r="K134" s="38" t="str"/>
      <x:c r="L134" s="38" t="str"/>
      <x:c r="M134" s="38" t="str"/>
      <x:c r="N134" s="38" t="str"/>
      <x:c r="O134" s="38" t="str"/>
      <x:c r="P134" s="38" t="str"/>
      <x:c r="Q134" s="38" t="str"/>
      <x:c r="R134" s="46"/>
    </x:row>
    <x:row r="135" ht="46" customHeight="1">
      <x:c r="A135" s="38" t="n">
        <x:v>134</x:v>
      </x:c>
      <x:c r="B135" s="38" t="str">
        <x:v>M09 機器學習、生成式 AI 與責任</x:v>
      </x:c>
      <x:c r="C135" s="38" t="str">
        <x:v>Train／Validation／Test 三種考卷</x:v>
      </x:c>
      <x:c r="D135" s="42"/>
      <x:c r="E135" s="42"/>
      <x:c r="F135" s="38" t="str">
        <x:v>未開始</x:v>
      </x:c>
      <x:c r="G135" s="38"/>
      <x:c r="H135" s="38"/>
      <x:c r="I135" s="44" t="n">
        <x:v>0</x:v>
      </x:c>
      <x:c r="J135" s="38" t="str"/>
      <x:c r="K135" s="38" t="str"/>
      <x:c r="L135" s="38" t="str"/>
      <x:c r="M135" s="38" t="str"/>
      <x:c r="N135" s="38" t="str"/>
      <x:c r="O135" s="38" t="str"/>
      <x:c r="P135" s="38" t="str"/>
      <x:c r="Q135" s="38" t="str"/>
      <x:c r="R135" s="46"/>
    </x:row>
    <x:row r="136" ht="46" customHeight="1">
      <x:c r="A136" s="38" t="n">
        <x:v>135</x:v>
      </x:c>
      <x:c r="B136" s="38" t="str">
        <x:v>M09 機器學習、生成式 AI 與責任</x:v>
      </x:c>
      <x:c r="C136" s="38" t="str">
        <x:v>混淆矩陣：錯在哪一類</x:v>
      </x:c>
      <x:c r="D136" s="42"/>
      <x:c r="E136" s="42"/>
      <x:c r="F136" s="38" t="str">
        <x:v>未開始</x:v>
      </x:c>
      <x:c r="G136" s="38"/>
      <x:c r="H136" s="38"/>
      <x:c r="I136" s="44" t="n">
        <x:v>0</x:v>
      </x:c>
      <x:c r="J136" s="38" t="str"/>
      <x:c r="K136" s="38" t="str"/>
      <x:c r="L136" s="38" t="str"/>
      <x:c r="M136" s="38" t="str"/>
      <x:c r="N136" s="38" t="str"/>
      <x:c r="O136" s="38" t="str"/>
      <x:c r="P136" s="38" t="str"/>
      <x:c r="Q136" s="38" t="str"/>
      <x:c r="R136" s="46"/>
    </x:row>
    <x:row r="137" ht="46" customHeight="1">
      <x:c r="A137" s="38" t="n">
        <x:v>136</x:v>
      </x:c>
      <x:c r="B137" s="38" t="str">
        <x:v>M09 機器學習、生成式 AI 與責任</x:v>
      </x:c>
      <x:c r="C137" s="38" t="str">
        <x:v>偏差與公平：誰被資料漏掉了</x:v>
      </x:c>
      <x:c r="D137" s="42"/>
      <x:c r="E137" s="42"/>
      <x:c r="F137" s="38" t="str">
        <x:v>未開始</x:v>
      </x:c>
      <x:c r="G137" s="38"/>
      <x:c r="H137" s="38"/>
      <x:c r="I137" s="44" t="n">
        <x:v>0</x:v>
      </x:c>
      <x:c r="J137" s="38" t="str"/>
      <x:c r="K137" s="38" t="str"/>
      <x:c r="L137" s="38" t="str"/>
      <x:c r="M137" s="38" t="str"/>
      <x:c r="N137" s="38" t="str"/>
      <x:c r="O137" s="38" t="str"/>
      <x:c r="P137" s="38" t="str"/>
      <x:c r="Q137" s="38" t="str"/>
      <x:c r="R137" s="46"/>
    </x:row>
    <x:row r="138" ht="46" customHeight="1">
      <x:c r="A138" s="38" t="n">
        <x:v>137</x:v>
      </x:c>
      <x:c r="B138" s="38" t="str">
        <x:v>M09 機器學習、生成式 AI 與責任</x:v>
      </x:c>
      <x:c r="C138" s="38" t="str">
        <x:v>神經網路直覺：很多小判斷接起來</x:v>
      </x:c>
      <x:c r="D138" s="42"/>
      <x:c r="E138" s="42"/>
      <x:c r="F138" s="38" t="str">
        <x:v>未開始</x:v>
      </x:c>
      <x:c r="G138" s="38"/>
      <x:c r="H138" s="38"/>
      <x:c r="I138" s="44" t="n">
        <x:v>0</x:v>
      </x:c>
      <x:c r="J138" s="38" t="str"/>
      <x:c r="K138" s="38" t="str"/>
      <x:c r="L138" s="38" t="str"/>
      <x:c r="M138" s="38" t="str"/>
      <x:c r="N138" s="38" t="str"/>
      <x:c r="O138" s="38" t="str"/>
      <x:c r="P138" s="38" t="str"/>
      <x:c r="Q138" s="38" t="str"/>
      <x:c r="R138" s="46"/>
    </x:row>
    <x:row r="139" ht="46" customHeight="1">
      <x:c r="A139" s="38" t="n">
        <x:v>138</x:v>
      </x:c>
      <x:c r="B139" s="38" t="str">
        <x:v>M09 機器學習、生成式 AI 與責任</x:v>
      </x:c>
      <x:c r="C139" s="38" t="str">
        <x:v>向量與 Embedding：把意思放進地圖</x:v>
      </x:c>
      <x:c r="D139" s="42"/>
      <x:c r="E139" s="42"/>
      <x:c r="F139" s="38" t="str">
        <x:v>未開始</x:v>
      </x:c>
      <x:c r="G139" s="38"/>
      <x:c r="H139" s="38"/>
      <x:c r="I139" s="44" t="n">
        <x:v>0</x:v>
      </x:c>
      <x:c r="J139" s="38" t="str"/>
      <x:c r="K139" s="38" t="str"/>
      <x:c r="L139" s="38" t="str"/>
      <x:c r="M139" s="38" t="str"/>
      <x:c r="N139" s="38" t="str"/>
      <x:c r="O139" s="38" t="str"/>
      <x:c r="P139" s="38" t="str"/>
      <x:c r="Q139" s="38" t="str"/>
      <x:c r="R139" s="46"/>
    </x:row>
    <x:row r="140" ht="46" customHeight="1">
      <x:c r="A140" s="38" t="n">
        <x:v>139</x:v>
      </x:c>
      <x:c r="B140" s="38" t="str">
        <x:v>M09 機器學習、生成式 AI 與責任</x:v>
      </x:c>
      <x:c r="C140" s="38" t="str">
        <x:v>LLM：下一個 Token 預測機</x:v>
      </x:c>
      <x:c r="D140" s="42"/>
      <x:c r="E140" s="42"/>
      <x:c r="F140" s="38" t="str">
        <x:v>未開始</x:v>
      </x:c>
      <x:c r="G140" s="38"/>
      <x:c r="H140" s="38"/>
      <x:c r="I140" s="44" t="n">
        <x:v>0</x:v>
      </x:c>
      <x:c r="J140" s="38" t="str"/>
      <x:c r="K140" s="38" t="str"/>
      <x:c r="L140" s="38" t="str"/>
      <x:c r="M140" s="38" t="str"/>
      <x:c r="N140" s="38" t="str"/>
      <x:c r="O140" s="38" t="str"/>
      <x:c r="P140" s="38" t="str"/>
      <x:c r="Q140" s="38" t="str"/>
      <x:c r="R140" s="46"/>
    </x:row>
    <x:row r="141" ht="46" customHeight="1">
      <x:c r="A141" s="38" t="n">
        <x:v>140</x:v>
      </x:c>
      <x:c r="B141" s="38" t="str">
        <x:v>M09 機器學習、生成式 AI 與責任</x:v>
      </x:c>
      <x:c r="C141" s="38" t="str">
        <x:v>RAG：先找資料再回答</x:v>
      </x:c>
      <x:c r="D141" s="42"/>
      <x:c r="E141" s="42"/>
      <x:c r="F141" s="38" t="str">
        <x:v>未開始</x:v>
      </x:c>
      <x:c r="G141" s="38"/>
      <x:c r="H141" s="38"/>
      <x:c r="I141" s="44" t="n">
        <x:v>0</x:v>
      </x:c>
      <x:c r="J141" s="38" t="str"/>
      <x:c r="K141" s="38" t="str"/>
      <x:c r="L141" s="38" t="str"/>
      <x:c r="M141" s="38" t="str"/>
      <x:c r="N141" s="38" t="str"/>
      <x:c r="O141" s="38" t="str"/>
      <x:c r="P141" s="38" t="str"/>
      <x:c r="Q141" s="38" t="str"/>
      <x:c r="R141" s="46"/>
    </x:row>
    <x:row r="142" ht="46" customHeight="1">
      <x:c r="A142" s="38" t="n">
        <x:v>141</x:v>
      </x:c>
      <x:c r="B142" s="38" t="str">
        <x:v>M09 機器學習、生成式 AI 與責任</x:v>
      </x:c>
      <x:c r="C142" s="38" t="str">
        <x:v>Prompt 與 Evals：答案好不好要先定義</x:v>
      </x:c>
      <x:c r="D142" s="42"/>
      <x:c r="E142" s="42"/>
      <x:c r="F142" s="38" t="str">
        <x:v>未開始</x:v>
      </x:c>
      <x:c r="G142" s="38"/>
      <x:c r="H142" s="38"/>
      <x:c r="I142" s="44" t="n">
        <x:v>0</x:v>
      </x:c>
      <x:c r="J142" s="38" t="str"/>
      <x:c r="K142" s="38" t="str"/>
      <x:c r="L142" s="38" t="str"/>
      <x:c r="M142" s="38" t="str"/>
      <x:c r="N142" s="38" t="str"/>
      <x:c r="O142" s="38" t="str"/>
      <x:c r="P142" s="38" t="str"/>
      <x:c r="Q142" s="38" t="str"/>
      <x:c r="R142" s="46"/>
    </x:row>
    <x:row r="143" ht="46" customHeight="1">
      <x:c r="A143" s="38" t="n">
        <x:v>142</x:v>
      </x:c>
      <x:c r="B143" s="38" t="str">
        <x:v>M09 機器學習、生成式 AI 與責任</x:v>
      </x:c>
      <x:c r="C143" s="38" t="str">
        <x:v>AI 倫理、隱私與責任邊界</x:v>
      </x:c>
      <x:c r="D143" s="42"/>
      <x:c r="E143" s="42"/>
      <x:c r="F143" s="38" t="str">
        <x:v>未開始</x:v>
      </x:c>
      <x:c r="G143" s="38"/>
      <x:c r="H143" s="38"/>
      <x:c r="I143" s="44" t="n">
        <x:v>0</x:v>
      </x:c>
      <x:c r="J143" s="38" t="str"/>
      <x:c r="K143" s="38" t="str"/>
      <x:c r="L143" s="38" t="str"/>
      <x:c r="M143" s="38" t="str"/>
      <x:c r="N143" s="38" t="str"/>
      <x:c r="O143" s="38" t="str"/>
      <x:c r="P143" s="38" t="str"/>
      <x:c r="Q143" s="38" t="str"/>
      <x:c r="R143" s="46"/>
    </x:row>
    <x:row r="144" ht="46" customHeight="1">
      <x:c r="A144" s="38" t="n">
        <x:v>143</x:v>
      </x:c>
      <x:c r="B144" s="38" t="str">
        <x:v>M09 機器學習、生成式 AI 與責任</x:v>
      </x:c>
      <x:c r="C144" s="38" t="str">
        <x:v>AI 小幫手 Alpha</x:v>
      </x:c>
      <x:c r="D144" s="42"/>
      <x:c r="E144" s="42"/>
      <x:c r="F144" s="38" t="str">
        <x:v>未開始</x:v>
      </x:c>
      <x:c r="G144" s="38"/>
      <x:c r="H144" s="38"/>
      <x:c r="I144" s="44" t="n">
        <x:v>0</x:v>
      </x:c>
      <x:c r="J144" s="38" t="str"/>
      <x:c r="K144" s="38" t="str"/>
      <x:c r="L144" s="38" t="str"/>
      <x:c r="M144" s="38" t="str"/>
      <x:c r="N144" s="38" t="str"/>
      <x:c r="O144" s="38" t="str"/>
      <x:c r="P144" s="38" t="str"/>
      <x:c r="Q144" s="38" t="str"/>
      <x:c r="R144" s="46"/>
    </x:row>
    <x:row r="145" ht="46" customHeight="1">
      <x:c r="A145" s="38" t="n">
        <x:v>144</x:v>
      </x:c>
      <x:c r="B145" s="38" t="str">
        <x:v>M09 機器學習、生成式 AI 與責任</x:v>
      </x:c>
      <x:c r="C145" s="38" t="str">
        <x:v>Model Card 與 Demo Day</x:v>
      </x:c>
      <x:c r="D145" s="42"/>
      <x:c r="E145" s="42"/>
      <x:c r="F145" s="38" t="str">
        <x:v>未開始</x:v>
      </x:c>
      <x:c r="G145" s="38"/>
      <x:c r="H145" s="38"/>
      <x:c r="I145" s="44" t="n">
        <x:v>0</x:v>
      </x:c>
      <x:c r="J145" s="38" t="str"/>
      <x:c r="K145" s="38" t="str"/>
      <x:c r="L145" s="38" t="str"/>
      <x:c r="M145" s="38" t="str"/>
      <x:c r="N145" s="38" t="str"/>
      <x:c r="O145" s="38" t="str"/>
      <x:c r="P145" s="38" t="str"/>
      <x:c r="Q145" s="38" t="str"/>
      <x:c r="R145" s="46"/>
    </x:row>
    <x:row r="146" ht="46" customHeight="1">
      <x:c r="A146" s="38" t="n">
        <x:v>145</x:v>
      </x:c>
      <x:c r="B146" s="38" t="str">
        <x:v>M10 Robot 與 IoT：感知、決策、行動</x:v>
      </x:c>
      <x:c r="C146" s="38" t="str">
        <x:v>機器人的三段式：感知—思考—行動</x:v>
      </x:c>
      <x:c r="D146" s="42"/>
      <x:c r="E146" s="42"/>
      <x:c r="F146" s="38" t="str">
        <x:v>未開始</x:v>
      </x:c>
      <x:c r="G146" s="38"/>
      <x:c r="H146" s="38"/>
      <x:c r="I146" s="44" t="n">
        <x:v>0</x:v>
      </x:c>
      <x:c r="J146" s="38" t="str"/>
      <x:c r="K146" s="38" t="str"/>
      <x:c r="L146" s="38" t="str"/>
      <x:c r="M146" s="38" t="str"/>
      <x:c r="N146" s="38" t="str"/>
      <x:c r="O146" s="38" t="str"/>
      <x:c r="P146" s="38" t="str"/>
      <x:c r="Q146" s="38" t="str"/>
      <x:c r="R146" s="46"/>
    </x:row>
    <x:row r="147" ht="46" customHeight="1">
      <x:c r="A147" s="38" t="n">
        <x:v>146</x:v>
      </x:c>
      <x:c r="B147" s="38" t="str">
        <x:v>M10 Robot 與 IoT：感知、決策、行動</x:v>
      </x:c>
      <x:c r="C147" s="38" t="str">
        <x:v>馬達與機構：轉動如何變成動作</x:v>
      </x:c>
      <x:c r="D147" s="42"/>
      <x:c r="E147" s="42"/>
      <x:c r="F147" s="38" t="str">
        <x:v>未開始</x:v>
      </x:c>
      <x:c r="G147" s="38"/>
      <x:c r="H147" s="38"/>
      <x:c r="I147" s="44" t="n">
        <x:v>0</x:v>
      </x:c>
      <x:c r="J147" s="38" t="str"/>
      <x:c r="K147" s="38" t="str"/>
      <x:c r="L147" s="38" t="str"/>
      <x:c r="M147" s="38" t="str"/>
      <x:c r="N147" s="38" t="str"/>
      <x:c r="O147" s="38" t="str"/>
      <x:c r="P147" s="38" t="str"/>
      <x:c r="Q147" s="38" t="str"/>
      <x:c r="R147" s="46"/>
    </x:row>
    <x:row r="148" ht="46" customHeight="1">
      <x:c r="A148" s="38" t="n">
        <x:v>147</x:v>
      </x:c>
      <x:c r="B148" s="38" t="str">
        <x:v>M10 Robot 與 IoT：感知、決策、行動</x:v>
      </x:c>
      <x:c r="C148" s="38" t="str">
        <x:v>距離、光線、碰撞：機器人的感官</x:v>
      </x:c>
      <x:c r="D148" s="42"/>
      <x:c r="E148" s="42"/>
      <x:c r="F148" s="38" t="str">
        <x:v>未開始</x:v>
      </x:c>
      <x:c r="G148" s="38"/>
      <x:c r="H148" s="38"/>
      <x:c r="I148" s="44" t="n">
        <x:v>0</x:v>
      </x:c>
      <x:c r="J148" s="38" t="str"/>
      <x:c r="K148" s="38" t="str"/>
      <x:c r="L148" s="38" t="str"/>
      <x:c r="M148" s="38" t="str"/>
      <x:c r="N148" s="38" t="str"/>
      <x:c r="O148" s="38" t="str"/>
      <x:c r="P148" s="38" t="str"/>
      <x:c r="Q148" s="38" t="str"/>
      <x:c r="R148" s="46"/>
    </x:row>
    <x:row r="149" ht="46" customHeight="1">
      <x:c r="A149" s="38" t="n">
        <x:v>148</x:v>
      </x:c>
      <x:c r="B149" s="38" t="str">
        <x:v>M10 Robot 與 IoT：感知、決策、行動</x:v>
      </x:c>
      <x:c r="C149" s="38" t="str">
        <x:v>控制迴路：不是開了就不管</x:v>
      </x:c>
      <x:c r="D149" s="42"/>
      <x:c r="E149" s="42"/>
      <x:c r="F149" s="38" t="str">
        <x:v>未開始</x:v>
      </x:c>
      <x:c r="G149" s="38"/>
      <x:c r="H149" s="38"/>
      <x:c r="I149" s="44" t="n">
        <x:v>0</x:v>
      </x:c>
      <x:c r="J149" s="38" t="str"/>
      <x:c r="K149" s="38" t="str"/>
      <x:c r="L149" s="38" t="str"/>
      <x:c r="M149" s="38" t="str"/>
      <x:c r="N149" s="38" t="str"/>
      <x:c r="O149" s="38" t="str"/>
      <x:c r="P149" s="38" t="str"/>
      <x:c r="Q149" s="38" t="str"/>
      <x:c r="R149" s="46"/>
    </x:row>
    <x:row r="150" ht="46" customHeight="1">
      <x:c r="A150" s="38" t="n">
        <x:v>149</x:v>
      </x:c>
      <x:c r="B150" s="38" t="str">
        <x:v>M10 Robot 與 IoT：感知、決策、行動</x:v>
      </x:c>
      <x:c r="C150" s="38" t="str">
        <x:v>循線車模擬：規則控制</x:v>
      </x:c>
      <x:c r="D150" s="42"/>
      <x:c r="E150" s="42"/>
      <x:c r="F150" s="38" t="str">
        <x:v>未開始</x:v>
      </x:c>
      <x:c r="G150" s="38"/>
      <x:c r="H150" s="38"/>
      <x:c r="I150" s="44" t="n">
        <x:v>0</x:v>
      </x:c>
      <x:c r="J150" s="38" t="str"/>
      <x:c r="K150" s="38" t="str"/>
      <x:c r="L150" s="38" t="str"/>
      <x:c r="M150" s="38" t="str"/>
      <x:c r="N150" s="38" t="str"/>
      <x:c r="O150" s="38" t="str"/>
      <x:c r="P150" s="38" t="str"/>
      <x:c r="Q150" s="38" t="str"/>
      <x:c r="R150" s="46"/>
    </x:row>
    <x:row r="151" ht="46" customHeight="1">
      <x:c r="A151" s="38" t="n">
        <x:v>150</x:v>
      </x:c>
      <x:c r="B151" s="38" t="str">
        <x:v>M10 Robot 與 IoT：感知、決策、行動</x:v>
      </x:c>
      <x:c r="C151" s="38" t="str">
        <x:v>狀態機任務：巡邏、發現、追蹤、返回</x:v>
      </x:c>
      <x:c r="D151" s="42"/>
      <x:c r="E151" s="42"/>
      <x:c r="F151" s="38" t="str">
        <x:v>未開始</x:v>
      </x:c>
      <x:c r="G151" s="38"/>
      <x:c r="H151" s="38"/>
      <x:c r="I151" s="44" t="n">
        <x:v>0</x:v>
      </x:c>
      <x:c r="J151" s="38" t="str"/>
      <x:c r="K151" s="38" t="str"/>
      <x:c r="L151" s="38" t="str"/>
      <x:c r="M151" s="38" t="str"/>
      <x:c r="N151" s="38" t="str"/>
      <x:c r="O151" s="38" t="str"/>
      <x:c r="P151" s="38" t="str"/>
      <x:c r="Q151" s="38" t="str"/>
      <x:c r="R151" s="46"/>
    </x:row>
    <x:row r="152" ht="46" customHeight="1">
      <x:c r="A152" s="38" t="n">
        <x:v>151</x:v>
      </x:c>
      <x:c r="B152" s="38" t="str">
        <x:v>M10 Robot 與 IoT：感知、決策、行動</x:v>
      </x:c>
      <x:c r="C152" s="38" t="str">
        <x:v>藍牙與 Wi‑Fi：遙控不是魔法</x:v>
      </x:c>
      <x:c r="D152" s="42"/>
      <x:c r="E152" s="42"/>
      <x:c r="F152" s="38" t="str">
        <x:v>未開始</x:v>
      </x:c>
      <x:c r="G152" s="38"/>
      <x:c r="H152" s="38"/>
      <x:c r="I152" s="44" t="n">
        <x:v>0</x:v>
      </x:c>
      <x:c r="J152" s="38" t="str"/>
      <x:c r="K152" s="38" t="str"/>
      <x:c r="L152" s="38" t="str"/>
      <x:c r="M152" s="38" t="str"/>
      <x:c r="N152" s="38" t="str"/>
      <x:c r="O152" s="38" t="str"/>
      <x:c r="P152" s="38" t="str"/>
      <x:c r="Q152" s="38" t="str"/>
      <x:c r="R152" s="46"/>
    </x:row>
    <x:row r="153" ht="46" customHeight="1">
      <x:c r="A153" s="38" t="n">
        <x:v>152</x:v>
      </x:c>
      <x:c r="B153" s="38" t="str">
        <x:v>M10 Robot 與 IoT：感知、決策、行動</x:v>
      </x:c>
      <x:c r="C153" s="38" t="str">
        <x:v>MQTT 與訊息主題</x:v>
      </x:c>
      <x:c r="D153" s="42"/>
      <x:c r="E153" s="42"/>
      <x:c r="F153" s="38" t="str">
        <x:v>未開始</x:v>
      </x:c>
      <x:c r="G153" s="38"/>
      <x:c r="H153" s="38"/>
      <x:c r="I153" s="44" t="n">
        <x:v>0</x:v>
      </x:c>
      <x:c r="J153" s="38" t="str"/>
      <x:c r="K153" s="38" t="str"/>
      <x:c r="L153" s="38" t="str"/>
      <x:c r="M153" s="38" t="str"/>
      <x:c r="N153" s="38" t="str"/>
      <x:c r="O153" s="38" t="str"/>
      <x:c r="P153" s="38" t="str"/>
      <x:c r="Q153" s="38" t="str"/>
      <x:c r="R153" s="46"/>
    </x:row>
    <x:row r="154" ht="46" customHeight="1">
      <x:c r="A154" s="38" t="n">
        <x:v>153</x:v>
      </x:c>
      <x:c r="B154" s="38" t="str">
        <x:v>M10 Robot 與 IoT：感知、決策、行動</x:v>
      </x:c>
      <x:c r="C154" s="38" t="str">
        <x:v>智慧家庭與 Home Automation 思維</x:v>
      </x:c>
      <x:c r="D154" s="42"/>
      <x:c r="E154" s="42"/>
      <x:c r="F154" s="38" t="str">
        <x:v>未開始</x:v>
      </x:c>
      <x:c r="G154" s="38"/>
      <x:c r="H154" s="38"/>
      <x:c r="I154" s="44" t="n">
        <x:v>0</x:v>
      </x:c>
      <x:c r="J154" s="38" t="str"/>
      <x:c r="K154" s="38" t="str"/>
      <x:c r="L154" s="38" t="str"/>
      <x:c r="M154" s="38" t="str"/>
      <x:c r="N154" s="38" t="str"/>
      <x:c r="O154" s="38" t="str"/>
      <x:c r="P154" s="38" t="str"/>
      <x:c r="Q154" s="38" t="str"/>
      <x:c r="R154" s="46"/>
    </x:row>
    <x:row r="155" ht="46" customHeight="1">
      <x:c r="A155" s="38" t="n">
        <x:v>154</x:v>
      </x:c>
      <x:c r="B155" s="38" t="str">
        <x:v>M10 Robot 與 IoT：感知、決策、行動</x:v>
      </x:c>
      <x:c r="C155" s="38" t="str">
        <x:v>機器視覺：看見不等於理解</x:v>
      </x:c>
      <x:c r="D155" s="42"/>
      <x:c r="E155" s="42"/>
      <x:c r="F155" s="38" t="str">
        <x:v>未開始</x:v>
      </x:c>
      <x:c r="G155" s="38"/>
      <x:c r="H155" s="38"/>
      <x:c r="I155" s="44" t="n">
        <x:v>0</x:v>
      </x:c>
      <x:c r="J155" s="38" t="str"/>
      <x:c r="K155" s="38" t="str"/>
      <x:c r="L155" s="38" t="str"/>
      <x:c r="M155" s="38" t="str"/>
      <x:c r="N155" s="38" t="str"/>
      <x:c r="O155" s="38" t="str"/>
      <x:c r="P155" s="38" t="str"/>
      <x:c r="Q155" s="38" t="str"/>
      <x:c r="R155" s="46"/>
    </x:row>
    <x:row r="156" ht="46" customHeight="1">
      <x:c r="A156" s="38" t="n">
        <x:v>155</x:v>
      </x:c>
      <x:c r="B156" s="38" t="str">
        <x:v>M10 Robot 與 IoT：感知、決策、行動</x:v>
      </x:c>
      <x:c r="C156" s="38" t="str">
        <x:v>語音介面：聽錯時怎麼辦</x:v>
      </x:c>
      <x:c r="D156" s="42"/>
      <x:c r="E156" s="42"/>
      <x:c r="F156" s="38" t="str">
        <x:v>未開始</x:v>
      </x:c>
      <x:c r="G156" s="38"/>
      <x:c r="H156" s="38"/>
      <x:c r="I156" s="44" t="n">
        <x:v>0</x:v>
      </x:c>
      <x:c r="J156" s="38" t="str"/>
      <x:c r="K156" s="38" t="str"/>
      <x:c r="L156" s="38" t="str"/>
      <x:c r="M156" s="38" t="str"/>
      <x:c r="N156" s="38" t="str"/>
      <x:c r="O156" s="38" t="str"/>
      <x:c r="P156" s="38" t="str"/>
      <x:c r="Q156" s="38" t="str"/>
      <x:c r="R156" s="46"/>
    </x:row>
    <x:row r="157" ht="46" customHeight="1">
      <x:c r="A157" s="38" t="n">
        <x:v>156</x:v>
      </x:c>
      <x:c r="B157" s="38" t="str">
        <x:v>M10 Robot 與 IoT：感知、決策、行動</x:v>
      </x:c>
      <x:c r="C157" s="38" t="str">
        <x:v>Fail-safe：機器人首先不能傷人</x:v>
      </x:c>
      <x:c r="D157" s="42"/>
      <x:c r="E157" s="42"/>
      <x:c r="F157" s="38" t="str">
        <x:v>未開始</x:v>
      </x:c>
      <x:c r="G157" s="38"/>
      <x:c r="H157" s="38"/>
      <x:c r="I157" s="44" t="n">
        <x:v>0</x:v>
      </x:c>
      <x:c r="J157" s="38" t="str"/>
      <x:c r="K157" s="38" t="str"/>
      <x:c r="L157" s="38" t="str"/>
      <x:c r="M157" s="38" t="str"/>
      <x:c r="N157" s="38" t="str"/>
      <x:c r="O157" s="38" t="str"/>
      <x:c r="P157" s="38" t="str"/>
      <x:c r="Q157" s="38" t="str"/>
      <x:c r="R157" s="46"/>
    </x:row>
    <x:row r="158" ht="46" customHeight="1">
      <x:c r="A158" s="38" t="n">
        <x:v>157</x:v>
      </x:c>
      <x:c r="B158" s="38" t="str">
        <x:v>M10 Robot 與 IoT：感知、決策、行動</x:v>
      </x:c>
      <x:c r="C158" s="38" t="str">
        <x:v>Robot Mission 企劃</x:v>
      </x:c>
      <x:c r="D158" s="42"/>
      <x:c r="E158" s="42"/>
      <x:c r="F158" s="38" t="str">
        <x:v>未開始</x:v>
      </x:c>
      <x:c r="G158" s="38"/>
      <x:c r="H158" s="38"/>
      <x:c r="I158" s="44" t="n">
        <x:v>0</x:v>
      </x:c>
      <x:c r="J158" s="38" t="str"/>
      <x:c r="K158" s="38" t="str"/>
      <x:c r="L158" s="38" t="str"/>
      <x:c r="M158" s="38" t="str"/>
      <x:c r="N158" s="38" t="str"/>
      <x:c r="O158" s="38" t="str"/>
      <x:c r="P158" s="38" t="str"/>
      <x:c r="Q158" s="38" t="str"/>
      <x:c r="R158" s="46"/>
    </x:row>
    <x:row r="159" ht="46" customHeight="1">
      <x:c r="A159" s="38" t="n">
        <x:v>158</x:v>
      </x:c>
      <x:c r="B159" s="38" t="str">
        <x:v>M10 Robot 與 IoT：感知、決策、行動</x:v>
      </x:c>
      <x:c r="C159" s="38" t="str">
        <x:v>原型整合 Sprint</x:v>
      </x:c>
      <x:c r="D159" s="42"/>
      <x:c r="E159" s="42"/>
      <x:c r="F159" s="38" t="str">
        <x:v>未開始</x:v>
      </x:c>
      <x:c r="G159" s="38"/>
      <x:c r="H159" s="38"/>
      <x:c r="I159" s="44" t="n">
        <x:v>0</x:v>
      </x:c>
      <x:c r="J159" s="38" t="str"/>
      <x:c r="K159" s="38" t="str"/>
      <x:c r="L159" s="38" t="str"/>
      <x:c r="M159" s="38" t="str"/>
      <x:c r="N159" s="38" t="str"/>
      <x:c r="O159" s="38" t="str"/>
      <x:c r="P159" s="38" t="str"/>
      <x:c r="Q159" s="38" t="str"/>
      <x:c r="R159" s="46"/>
    </x:row>
    <x:row r="160" ht="46" customHeight="1">
      <x:c r="A160" s="38" t="n">
        <x:v>159</x:v>
      </x:c>
      <x:c r="B160" s="38" t="str">
        <x:v>M10 Robot 與 IoT：感知、決策、行動</x:v>
      </x:c>
      <x:c r="C160" s="38" t="str">
        <x:v>整合測試與故障注入</x:v>
      </x:c>
      <x:c r="D160" s="42"/>
      <x:c r="E160" s="42"/>
      <x:c r="F160" s="38" t="str">
        <x:v>未開始</x:v>
      </x:c>
      <x:c r="G160" s="38"/>
      <x:c r="H160" s="38"/>
      <x:c r="I160" s="44" t="n">
        <x:v>0</x:v>
      </x:c>
      <x:c r="J160" s="38" t="str"/>
      <x:c r="K160" s="38" t="str"/>
      <x:c r="L160" s="38" t="str"/>
      <x:c r="M160" s="38" t="str"/>
      <x:c r="N160" s="38" t="str"/>
      <x:c r="O160" s="38" t="str"/>
      <x:c r="P160" s="38" t="str"/>
      <x:c r="Q160" s="38" t="str"/>
      <x:c r="R160" s="46"/>
    </x:row>
    <x:row r="161" ht="46" customHeight="1">
      <x:c r="A161" s="38" t="n">
        <x:v>160</x:v>
      </x:c>
      <x:c r="B161" s="38" t="str">
        <x:v>M10 Robot 與 IoT：感知、決策、行動</x:v>
      </x:c>
      <x:c r="C161" s="38" t="str">
        <x:v>Robot Challenge Day</x:v>
      </x:c>
      <x:c r="D161" s="42"/>
      <x:c r="E161" s="42"/>
      <x:c r="F161" s="38" t="str">
        <x:v>未開始</x:v>
      </x:c>
      <x:c r="G161" s="38"/>
      <x:c r="H161" s="38"/>
      <x:c r="I161" s="44" t="n">
        <x:v>0</x:v>
      </x:c>
      <x:c r="J161" s="38" t="str"/>
      <x:c r="K161" s="38" t="str"/>
      <x:c r="L161" s="38" t="str"/>
      <x:c r="M161" s="38" t="str"/>
      <x:c r="N161" s="38" t="str"/>
      <x:c r="O161" s="38" t="str"/>
      <x:c r="P161" s="38" t="str"/>
      <x:c r="Q161" s="38" t="str"/>
      <x:c r="R161" s="46"/>
    </x:row>
    <x:row r="162" ht="46" customHeight="1">
      <x:c r="A162" s="38" t="n">
        <x:v>161</x:v>
      </x:c>
      <x:c r="B162" s="38" t="str">
        <x:v>M11 AI Agent 與自動化工程</x:v>
      </x:c>
      <x:c r="C162" s="38" t="str">
        <x:v>自動化、工作流與 Agent 差在哪</x:v>
      </x:c>
      <x:c r="D162" s="42"/>
      <x:c r="E162" s="42"/>
      <x:c r="F162" s="38" t="str">
        <x:v>未開始</x:v>
      </x:c>
      <x:c r="G162" s="38"/>
      <x:c r="H162" s="38"/>
      <x:c r="I162" s="44" t="n">
        <x:v>0</x:v>
      </x:c>
      <x:c r="J162" s="38" t="str"/>
      <x:c r="K162" s="38" t="str"/>
      <x:c r="L162" s="38" t="str"/>
      <x:c r="M162" s="38" t="str"/>
      <x:c r="N162" s="38" t="str"/>
      <x:c r="O162" s="38" t="str"/>
      <x:c r="P162" s="38" t="str"/>
      <x:c r="Q162" s="38" t="str"/>
      <x:c r="R162" s="46"/>
    </x:row>
    <x:row r="163" ht="46" customHeight="1">
      <x:c r="A163" s="38" t="n">
        <x:v>162</x:v>
      </x:c>
      <x:c r="B163" s="38" t="str">
        <x:v>M11 AI Agent 與自動化工程</x:v>
      </x:c>
      <x:c r="C163" s="38" t="str">
        <x:v>先畫流程再寫程式</x:v>
      </x:c>
      <x:c r="D163" s="42"/>
      <x:c r="E163" s="42"/>
      <x:c r="F163" s="38" t="str">
        <x:v>未開始</x:v>
      </x:c>
      <x:c r="G163" s="38"/>
      <x:c r="H163" s="38"/>
      <x:c r="I163" s="44" t="n">
        <x:v>0</x:v>
      </x:c>
      <x:c r="J163" s="38" t="str"/>
      <x:c r="K163" s="38" t="str"/>
      <x:c r="L163" s="38" t="str"/>
      <x:c r="M163" s="38" t="str"/>
      <x:c r="N163" s="38" t="str"/>
      <x:c r="O163" s="38" t="str"/>
      <x:c r="P163" s="38" t="str"/>
      <x:c r="Q163" s="38" t="str"/>
      <x:c r="R163" s="46"/>
    </x:row>
    <x:row r="164" ht="46" customHeight="1">
      <x:c r="A164" s="38" t="n">
        <x:v>163</x:v>
      </x:c>
      <x:c r="B164" s="38" t="str">
        <x:v>M11 AI Agent 與自動化工程</x:v>
      </x:c>
      <x:c r="C164" s="38" t="str">
        <x:v>工具就是 Agent 的手腳</x:v>
      </x:c>
      <x:c r="D164" s="42"/>
      <x:c r="E164" s="42"/>
      <x:c r="F164" s="38" t="str">
        <x:v>未開始</x:v>
      </x:c>
      <x:c r="G164" s="38"/>
      <x:c r="H164" s="38"/>
      <x:c r="I164" s="44" t="n">
        <x:v>0</x:v>
      </x:c>
      <x:c r="J164" s="38" t="str"/>
      <x:c r="K164" s="38" t="str"/>
      <x:c r="L164" s="38" t="str"/>
      <x:c r="M164" s="38" t="str"/>
      <x:c r="N164" s="38" t="str"/>
      <x:c r="O164" s="38" t="str"/>
      <x:c r="P164" s="38" t="str"/>
      <x:c r="Q164" s="38" t="str"/>
      <x:c r="R164" s="46"/>
    </x:row>
    <x:row r="165" ht="46" customHeight="1">
      <x:c r="A165" s="38" t="n">
        <x:v>164</x:v>
      </x:c>
      <x:c r="B165" s="38" t="str">
        <x:v>M11 AI Agent 與自動化工程</x:v>
      </x:c>
      <x:c r="C165" s="38" t="str">
        <x:v>JSON：系統之間的共同語言</x:v>
      </x:c>
      <x:c r="D165" s="42"/>
      <x:c r="E165" s="42"/>
      <x:c r="F165" s="38" t="str">
        <x:v>未開始</x:v>
      </x:c>
      <x:c r="G165" s="38"/>
      <x:c r="H165" s="38"/>
      <x:c r="I165" s="44" t="n">
        <x:v>0</x:v>
      </x:c>
      <x:c r="J165" s="38" t="str"/>
      <x:c r="K165" s="38" t="str"/>
      <x:c r="L165" s="38" t="str"/>
      <x:c r="M165" s="38" t="str"/>
      <x:c r="N165" s="38" t="str"/>
      <x:c r="O165" s="38" t="str"/>
      <x:c r="P165" s="38" t="str"/>
      <x:c r="Q165" s="38" t="str"/>
      <x:c r="R165" s="46"/>
    </x:row>
    <x:row r="166" ht="46" customHeight="1">
      <x:c r="A166" s="38" t="n">
        <x:v>165</x:v>
      </x:c>
      <x:c r="B166" s="38" t="str">
        <x:v>M11 AI Agent 與自動化工程</x:v>
      </x:c>
      <x:c r="C166" s="38" t="str">
        <x:v>HTTP 與 API：向另一個系統借能力</x:v>
      </x:c>
      <x:c r="D166" s="42"/>
      <x:c r="E166" s="42"/>
      <x:c r="F166" s="38" t="str">
        <x:v>未開始</x:v>
      </x:c>
      <x:c r="G166" s="38"/>
      <x:c r="H166" s="38"/>
      <x:c r="I166" s="44" t="n">
        <x:v>0</x:v>
      </x:c>
      <x:c r="J166" s="38" t="str"/>
      <x:c r="K166" s="38" t="str"/>
      <x:c r="L166" s="38" t="str"/>
      <x:c r="M166" s="38" t="str"/>
      <x:c r="N166" s="38" t="str"/>
      <x:c r="O166" s="38" t="str"/>
      <x:c r="P166" s="38" t="str"/>
      <x:c r="Q166" s="38" t="str"/>
      <x:c r="R166" s="46"/>
    </x:row>
    <x:row r="167" ht="46" customHeight="1">
      <x:c r="A167" s="38" t="n">
        <x:v>166</x:v>
      </x:c>
      <x:c r="B167" s="38" t="str">
        <x:v>M11 AI Agent 與自動化工程</x:v>
      </x:c>
      <x:c r="C167" s="38" t="str">
        <x:v>API Key 與秘密管理</x:v>
      </x:c>
      <x:c r="D167" s="42"/>
      <x:c r="E167" s="42"/>
      <x:c r="F167" s="38" t="str">
        <x:v>未開始</x:v>
      </x:c>
      <x:c r="G167" s="38"/>
      <x:c r="H167" s="38"/>
      <x:c r="I167" s="44" t="n">
        <x:v>0</x:v>
      </x:c>
      <x:c r="J167" s="38" t="str"/>
      <x:c r="K167" s="38" t="str"/>
      <x:c r="L167" s="38" t="str"/>
      <x:c r="M167" s="38" t="str"/>
      <x:c r="N167" s="38" t="str"/>
      <x:c r="O167" s="38" t="str"/>
      <x:c r="P167" s="38" t="str"/>
      <x:c r="Q167" s="38" t="str"/>
      <x:c r="R167" s="46"/>
    </x:row>
    <x:row r="168" ht="46" customHeight="1">
      <x:c r="A168" s="38" t="n">
        <x:v>167</x:v>
      </x:c>
      <x:c r="B168" s="38" t="str">
        <x:v>M11 AI Agent 與自動化工程</x:v>
      </x:c>
      <x:c r="C168" s="38" t="str">
        <x:v>Prompt Template：可重複的工作指令</x:v>
      </x:c>
      <x:c r="D168" s="42"/>
      <x:c r="E168" s="42"/>
      <x:c r="F168" s="38" t="str">
        <x:v>未開始</x:v>
      </x:c>
      <x:c r="G168" s="38"/>
      <x:c r="H168" s="38"/>
      <x:c r="I168" s="44" t="n">
        <x:v>0</x:v>
      </x:c>
      <x:c r="J168" s="38" t="str"/>
      <x:c r="K168" s="38" t="str"/>
      <x:c r="L168" s="38" t="str"/>
      <x:c r="M168" s="38" t="str"/>
      <x:c r="N168" s="38" t="str"/>
      <x:c r="O168" s="38" t="str"/>
      <x:c r="P168" s="38" t="str"/>
      <x:c r="Q168" s="38" t="str"/>
      <x:c r="R168" s="46"/>
    </x:row>
    <x:row r="169" ht="46" customHeight="1">
      <x:c r="A169" s="38" t="n">
        <x:v>168</x:v>
      </x:c>
      <x:c r="B169" s="38" t="str">
        <x:v>M11 AI Agent 與自動化工程</x:v>
      </x:c>
      <x:c r="C169" s="38" t="str">
        <x:v>Context 與 Memory：記住什麼、忘掉什麼</x:v>
      </x:c>
      <x:c r="D169" s="42"/>
      <x:c r="E169" s="42"/>
      <x:c r="F169" s="38" t="str">
        <x:v>未開始</x:v>
      </x:c>
      <x:c r="G169" s="38"/>
      <x:c r="H169" s="38"/>
      <x:c r="I169" s="44" t="n">
        <x:v>0</x:v>
      </x:c>
      <x:c r="J169" s="38" t="str"/>
      <x:c r="K169" s="38" t="str"/>
      <x:c r="L169" s="38" t="str"/>
      <x:c r="M169" s="38" t="str"/>
      <x:c r="N169" s="38" t="str"/>
      <x:c r="O169" s="38" t="str"/>
      <x:c r="P169" s="38" t="str"/>
      <x:c r="Q169" s="38" t="str"/>
      <x:c r="R169" s="46"/>
    </x:row>
    <x:row r="170" ht="46" customHeight="1">
      <x:c r="A170" s="38" t="n">
        <x:v>169</x:v>
      </x:c>
      <x:c r="B170" s="38" t="str">
        <x:v>M11 AI Agent 與自動化工程</x:v>
      </x:c>
      <x:c r="C170" s="38" t="str">
        <x:v>Planner／Executor／Reviewer</x:v>
      </x:c>
      <x:c r="D170" s="42"/>
      <x:c r="E170" s="42"/>
      <x:c r="F170" s="38" t="str">
        <x:v>未開始</x:v>
      </x:c>
      <x:c r="G170" s="38"/>
      <x:c r="H170" s="38"/>
      <x:c r="I170" s="44" t="n">
        <x:v>0</x:v>
      </x:c>
      <x:c r="J170" s="38" t="str"/>
      <x:c r="K170" s="38" t="str"/>
      <x:c r="L170" s="38" t="str"/>
      <x:c r="M170" s="38" t="str"/>
      <x:c r="N170" s="38" t="str"/>
      <x:c r="O170" s="38" t="str"/>
      <x:c r="P170" s="38" t="str"/>
      <x:c r="Q170" s="38" t="str"/>
      <x:c r="R170" s="46"/>
    </x:row>
    <x:row r="171" ht="46" customHeight="1">
      <x:c r="A171" s="38" t="n">
        <x:v>170</x:v>
      </x:c>
      <x:c r="B171" s="38" t="str">
        <x:v>M11 AI Agent 與自動化工程</x:v>
      </x:c>
      <x:c r="C171" s="38" t="str">
        <x:v>Evals：Agent 做完不代表做對</x:v>
      </x:c>
      <x:c r="D171" s="42"/>
      <x:c r="E171" s="42"/>
      <x:c r="F171" s="38" t="str">
        <x:v>未開始</x:v>
      </x:c>
      <x:c r="G171" s="38"/>
      <x:c r="H171" s="38"/>
      <x:c r="I171" s="44" t="n">
        <x:v>0</x:v>
      </x:c>
      <x:c r="J171" s="38" t="str"/>
      <x:c r="K171" s="38" t="str"/>
      <x:c r="L171" s="38" t="str"/>
      <x:c r="M171" s="38" t="str"/>
      <x:c r="N171" s="38" t="str"/>
      <x:c r="O171" s="38" t="str"/>
      <x:c r="P171" s="38" t="str"/>
      <x:c r="Q171" s="38" t="str"/>
      <x:c r="R171" s="46"/>
    </x:row>
    <x:row r="172" ht="46" customHeight="1">
      <x:c r="A172" s="38" t="n">
        <x:v>171</x:v>
      </x:c>
      <x:c r="B172" s="38" t="str">
        <x:v>M11 AI Agent 與自動化工程</x:v>
      </x:c>
      <x:c r="C172" s="38" t="str">
        <x:v>檔案自動化：整理錄音與專案</x:v>
      </x:c>
      <x:c r="D172" s="42"/>
      <x:c r="E172" s="42"/>
      <x:c r="F172" s="38" t="str">
        <x:v>未開始</x:v>
      </x:c>
      <x:c r="G172" s="38"/>
      <x:c r="H172" s="38"/>
      <x:c r="I172" s="44" t="n">
        <x:v>0</x:v>
      </x:c>
      <x:c r="J172" s="38" t="str"/>
      <x:c r="K172" s="38" t="str"/>
      <x:c r="L172" s="38" t="str"/>
      <x:c r="M172" s="38" t="str"/>
      <x:c r="N172" s="38" t="str"/>
      <x:c r="O172" s="38" t="str"/>
      <x:c r="P172" s="38" t="str"/>
      <x:c r="Q172" s="38" t="str"/>
      <x:c r="R172" s="46"/>
    </x:row>
    <x:row r="173" ht="46" customHeight="1">
      <x:c r="A173" s="38" t="n">
        <x:v>172</x:v>
      </x:c>
      <x:c r="B173" s="38" t="str">
        <x:v>M11 AI Agent 與自動化工程</x:v>
      </x:c>
      <x:c r="C173" s="38" t="str">
        <x:v>有來源的研究 Agent</x:v>
      </x:c>
      <x:c r="D173" s="42"/>
      <x:c r="E173" s="42"/>
      <x:c r="F173" s="38" t="str">
        <x:v>未開始</x:v>
      </x:c>
      <x:c r="G173" s="38"/>
      <x:c r="H173" s="38"/>
      <x:c r="I173" s="44" t="n">
        <x:v>0</x:v>
      </x:c>
      <x:c r="J173" s="38" t="str"/>
      <x:c r="K173" s="38" t="str"/>
      <x:c r="L173" s="38" t="str"/>
      <x:c r="M173" s="38" t="str"/>
      <x:c r="N173" s="38" t="str"/>
      <x:c r="O173" s="38" t="str"/>
      <x:c r="P173" s="38" t="str"/>
      <x:c r="Q173" s="38" t="str"/>
      <x:c r="R173" s="46"/>
    </x:row>
    <x:row r="174" ht="46" customHeight="1">
      <x:c r="A174" s="38" t="n">
        <x:v>173</x:v>
      </x:c>
      <x:c r="B174" s="38" t="str">
        <x:v>M11 AI Agent 與自動化工程</x:v>
      </x:c>
      <x:c r="C174" s="38" t="str">
        <x:v>Coding Agent 的 Repo 規則</x:v>
      </x:c>
      <x:c r="D174" s="42"/>
      <x:c r="E174" s="42"/>
      <x:c r="F174" s="38" t="str">
        <x:v>未開始</x:v>
      </x:c>
      <x:c r="G174" s="38"/>
      <x:c r="H174" s="38"/>
      <x:c r="I174" s="44" t="n">
        <x:v>0</x:v>
      </x:c>
      <x:c r="J174" s="38" t="str"/>
      <x:c r="K174" s="38" t="str"/>
      <x:c r="L174" s="38" t="str"/>
      <x:c r="M174" s="38" t="str"/>
      <x:c r="N174" s="38" t="str"/>
      <x:c r="O174" s="38" t="str"/>
      <x:c r="P174" s="38" t="str"/>
      <x:c r="Q174" s="38" t="str"/>
      <x:c r="R174" s="46"/>
    </x:row>
    <x:row r="175" ht="46" customHeight="1">
      <x:c r="A175" s="38" t="n">
        <x:v>174</x:v>
      </x:c>
      <x:c r="B175" s="38" t="str">
        <x:v>M11 AI Agent 與自動化工程</x:v>
      </x:c>
      <x:c r="C175" s="38" t="str">
        <x:v>個人學習 Agent Alpha</x:v>
      </x:c>
      <x:c r="D175" s="42"/>
      <x:c r="E175" s="42"/>
      <x:c r="F175" s="38" t="str">
        <x:v>未開始</x:v>
      </x:c>
      <x:c r="G175" s="38"/>
      <x:c r="H175" s="38"/>
      <x:c r="I175" s="44" t="n">
        <x:v>0</x:v>
      </x:c>
      <x:c r="J175" s="38" t="str"/>
      <x:c r="K175" s="38" t="str"/>
      <x:c r="L175" s="38" t="str"/>
      <x:c r="M175" s="38" t="str"/>
      <x:c r="N175" s="38" t="str"/>
      <x:c r="O175" s="38" t="str"/>
      <x:c r="P175" s="38" t="str"/>
      <x:c r="Q175" s="38" t="str"/>
      <x:c r="R175" s="46"/>
    </x:row>
    <x:row r="176" ht="46" customHeight="1">
      <x:c r="A176" s="38" t="n">
        <x:v>175</x:v>
      </x:c>
      <x:c r="B176" s="38" t="str">
        <x:v>M11 AI Agent 與自動化工程</x:v>
      </x:c>
      <x:c r="C176" s="38" t="str">
        <x:v>Red Team：讓 Agent 失敗給你看</x:v>
      </x:c>
      <x:c r="D176" s="42"/>
      <x:c r="E176" s="42"/>
      <x:c r="F176" s="38" t="str">
        <x:v>未開始</x:v>
      </x:c>
      <x:c r="G176" s="38"/>
      <x:c r="H176" s="38"/>
      <x:c r="I176" s="44" t="n">
        <x:v>0</x:v>
      </x:c>
      <x:c r="J176" s="38" t="str"/>
      <x:c r="K176" s="38" t="str"/>
      <x:c r="L176" s="38" t="str"/>
      <x:c r="M176" s="38" t="str"/>
      <x:c r="N176" s="38" t="str"/>
      <x:c r="O176" s="38" t="str"/>
      <x:c r="P176" s="38" t="str"/>
      <x:c r="Q176" s="38" t="str"/>
      <x:c r="R176" s="46"/>
    </x:row>
    <x:row r="177" ht="46" customHeight="1">
      <x:c r="A177" s="38" t="n">
        <x:v>176</x:v>
      </x:c>
      <x:c r="B177" s="38" t="str">
        <x:v>M11 AI Agent 與自動化工程</x:v>
      </x:c>
      <x:c r="C177" s="38" t="str">
        <x:v>Agent Demo Day 與運維手冊</x:v>
      </x:c>
      <x:c r="D177" s="42"/>
      <x:c r="E177" s="42"/>
      <x:c r="F177" s="38" t="str">
        <x:v>未開始</x:v>
      </x:c>
      <x:c r="G177" s="38"/>
      <x:c r="H177" s="38"/>
      <x:c r="I177" s="44" t="n">
        <x:v>0</x:v>
      </x:c>
      <x:c r="J177" s="38" t="str"/>
      <x:c r="K177" s="38" t="str"/>
      <x:c r="L177" s="38" t="str"/>
      <x:c r="M177" s="38" t="str"/>
      <x:c r="N177" s="38" t="str"/>
      <x:c r="O177" s="38" t="str"/>
      <x:c r="P177" s="38" t="str"/>
      <x:c r="Q177" s="38" t="str"/>
      <x:c r="R177" s="46"/>
    </x:row>
    <x:row r="178" ht="46" customHeight="1">
      <x:c r="A178" s="38" t="n">
        <x:v>177</x:v>
      </x:c>
      <x:c r="B178" s="38" t="str">
        <x:v>M12 獨立創作者：產品、研究、生活與傳承</x:v>
      </x:c>
      <x:c r="C178" s="38" t="str">
        <x:v>問題獵人：先找痛點，不急著想 App</x:v>
      </x:c>
      <x:c r="D178" s="42"/>
      <x:c r="E178" s="42"/>
      <x:c r="F178" s="38" t="str">
        <x:v>未開始</x:v>
      </x:c>
      <x:c r="G178" s="38"/>
      <x:c r="H178" s="38"/>
      <x:c r="I178" s="44" t="n">
        <x:v>0</x:v>
      </x:c>
      <x:c r="J178" s="38" t="str"/>
      <x:c r="K178" s="38" t="str"/>
      <x:c r="L178" s="38" t="str"/>
      <x:c r="M178" s="38" t="str"/>
      <x:c r="N178" s="38" t="str"/>
      <x:c r="O178" s="38" t="str"/>
      <x:c r="P178" s="38" t="str"/>
      <x:c r="Q178" s="38" t="str"/>
      <x:c r="R178" s="46"/>
    </x:row>
    <x:row r="179" ht="46" customHeight="1">
      <x:c r="A179" s="38" t="n">
        <x:v>178</x:v>
      </x:c>
      <x:c r="B179" s="38" t="str">
        <x:v>M12 獨立創作者：產品、研究、生活與傳承</x:v>
      </x:c>
      <x:c r="C179" s="38" t="str">
        <x:v>使用者訪談：問經驗，不問幻想</x:v>
      </x:c>
      <x:c r="D179" s="42"/>
      <x:c r="E179" s="42"/>
      <x:c r="F179" s="38" t="str">
        <x:v>未開始</x:v>
      </x:c>
      <x:c r="G179" s="38"/>
      <x:c r="H179" s="38"/>
      <x:c r="I179" s="44" t="n">
        <x:v>0</x:v>
      </x:c>
      <x:c r="J179" s="38" t="str"/>
      <x:c r="K179" s="38" t="str"/>
      <x:c r="L179" s="38" t="str"/>
      <x:c r="M179" s="38" t="str"/>
      <x:c r="N179" s="38" t="str"/>
      <x:c r="O179" s="38" t="str"/>
      <x:c r="P179" s="38" t="str"/>
      <x:c r="Q179" s="38" t="str"/>
      <x:c r="R179" s="46"/>
    </x:row>
    <x:row r="180" ht="46" customHeight="1">
      <x:c r="A180" s="38" t="n">
        <x:v>179</x:v>
      </x:c>
      <x:c r="B180" s="38" t="str">
        <x:v>M12 獨立創作者：產品、研究、生活與傳承</x:v>
      </x:c>
      <x:c r="C180" s="38" t="str">
        <x:v>產品需求：要做什麼，也要說不做什麼</x:v>
      </x:c>
      <x:c r="D180" s="42"/>
      <x:c r="E180" s="42"/>
      <x:c r="F180" s="38" t="str">
        <x:v>未開始</x:v>
      </x:c>
      <x:c r="G180" s="38"/>
      <x:c r="H180" s="38"/>
      <x:c r="I180" s="44" t="n">
        <x:v>0</x:v>
      </x:c>
      <x:c r="J180" s="38" t="str"/>
      <x:c r="K180" s="38" t="str"/>
      <x:c r="L180" s="38" t="str"/>
      <x:c r="M180" s="38" t="str"/>
      <x:c r="N180" s="38" t="str"/>
      <x:c r="O180" s="38" t="str"/>
      <x:c r="P180" s="38" t="str"/>
      <x:c r="Q180" s="38" t="str"/>
      <x:c r="R180" s="46"/>
    </x:row>
    <x:row r="181" ht="46" customHeight="1">
      <x:c r="A181" s="38" t="n">
        <x:v>180</x:v>
      </x:c>
      <x:c r="B181" s="38" t="str">
        <x:v>M12 獨立創作者：產品、研究、生活與傳承</x:v>
      </x:c>
      <x:c r="C181" s="38" t="str">
        <x:v>優先順序：時間永遠不夠</x:v>
      </x:c>
      <x:c r="D181" s="42"/>
      <x:c r="E181" s="42"/>
      <x:c r="F181" s="38" t="str">
        <x:v>未開始</x:v>
      </x:c>
      <x:c r="G181" s="38"/>
      <x:c r="H181" s="38"/>
      <x:c r="I181" s="44" t="n">
        <x:v>0</x:v>
      </x:c>
      <x:c r="J181" s="38" t="str"/>
      <x:c r="K181" s="38" t="str"/>
      <x:c r="L181" s="38" t="str"/>
      <x:c r="M181" s="38" t="str"/>
      <x:c r="N181" s="38" t="str"/>
      <x:c r="O181" s="38" t="str"/>
      <x:c r="P181" s="38" t="str"/>
      <x:c r="Q181" s="38" t="str"/>
      <x:c r="R181" s="46"/>
    </x:row>
    <x:row r="182" ht="46" customHeight="1">
      <x:c r="A182" s="38" t="n">
        <x:v>181</x:v>
      </x:c>
      <x:c r="B182" s="38" t="str">
        <x:v>M12 獨立創作者：產品、研究、生活與傳承</x:v>
      </x:c>
      <x:c r="C182" s="38" t="str">
        <x:v>估算與拆工：大象一口一口吃</x:v>
      </x:c>
      <x:c r="D182" s="42"/>
      <x:c r="E182" s="42"/>
      <x:c r="F182" s="38" t="str">
        <x:v>未開始</x:v>
      </x:c>
      <x:c r="G182" s="38"/>
      <x:c r="H182" s="38"/>
      <x:c r="I182" s="44" t="n">
        <x:v>0</x:v>
      </x:c>
      <x:c r="J182" s="38" t="str"/>
      <x:c r="K182" s="38" t="str"/>
      <x:c r="L182" s="38" t="str"/>
      <x:c r="M182" s="38" t="str"/>
      <x:c r="N182" s="38" t="str"/>
      <x:c r="O182" s="38" t="str"/>
      <x:c r="P182" s="38" t="str"/>
      <x:c r="Q182" s="38" t="str"/>
      <x:c r="R182" s="46"/>
    </x:row>
    <x:row r="183" ht="46" customHeight="1">
      <x:c r="A183" s="38" t="n">
        <x:v>182</x:v>
      </x:c>
      <x:c r="B183" s="38" t="str">
        <x:v>M12 獨立創作者：產品、研究、生活與傳承</x:v>
      </x:c>
      <x:c r="C183" s="38" t="str">
        <x:v>預算與金錢：每個選擇都有機會成本</x:v>
      </x:c>
      <x:c r="D183" s="42"/>
      <x:c r="E183" s="42"/>
      <x:c r="F183" s="38" t="str">
        <x:v>未開始</x:v>
      </x:c>
      <x:c r="G183" s="38"/>
      <x:c r="H183" s="38"/>
      <x:c r="I183" s="44" t="n">
        <x:v>0</x:v>
      </x:c>
      <x:c r="J183" s="38" t="str"/>
      <x:c r="K183" s="38" t="str"/>
      <x:c r="L183" s="38" t="str"/>
      <x:c r="M183" s="38" t="str"/>
      <x:c r="N183" s="38" t="str"/>
      <x:c r="O183" s="38" t="str"/>
      <x:c r="P183" s="38" t="str"/>
      <x:c r="Q183" s="38" t="str"/>
      <x:c r="R183" s="46"/>
    </x:row>
    <x:row r="184" ht="46" customHeight="1">
      <x:c r="A184" s="38" t="n">
        <x:v>183</x:v>
      </x:c>
      <x:c r="B184" s="38" t="str">
        <x:v>M12 獨立創作者：產品、研究、生活與傳承</x:v>
      </x:c>
      <x:c r="C184" s="38" t="str">
        <x:v>時間管理：能量比行事曆更重要</x:v>
      </x:c>
      <x:c r="D184" s="42"/>
      <x:c r="E184" s="42"/>
      <x:c r="F184" s="38" t="str">
        <x:v>未開始</x:v>
      </x:c>
      <x:c r="G184" s="38"/>
      <x:c r="H184" s="38"/>
      <x:c r="I184" s="44" t="n">
        <x:v>0</x:v>
      </x:c>
      <x:c r="J184" s="38" t="str"/>
      <x:c r="K184" s="38" t="str"/>
      <x:c r="L184" s="38" t="str"/>
      <x:c r="M184" s="38" t="str"/>
      <x:c r="N184" s="38" t="str"/>
      <x:c r="O184" s="38" t="str"/>
      <x:c r="P184" s="38" t="str"/>
      <x:c r="Q184" s="38" t="str"/>
      <x:c r="R184" s="46"/>
    </x:row>
    <x:row r="185" ht="46" customHeight="1">
      <x:c r="A185" s="38" t="n">
        <x:v>184</x:v>
      </x:c>
      <x:c r="B185" s="38" t="str">
        <x:v>M12 獨立創作者：產品、研究、生活與傳承</x:v>
      </x:c>
      <x:c r="C185" s="38" t="str">
        <x:v>溝通與衝突：批評作品，不攻擊人</x:v>
      </x:c>
      <x:c r="D185" s="42"/>
      <x:c r="E185" s="42"/>
      <x:c r="F185" s="38" t="str">
        <x:v>未開始</x:v>
      </x:c>
      <x:c r="G185" s="38"/>
      <x:c r="H185" s="38"/>
      <x:c r="I185" s="44" t="n">
        <x:v>0</x:v>
      </x:c>
      <x:c r="J185" s="38" t="str"/>
      <x:c r="K185" s="38" t="str"/>
      <x:c r="L185" s="38" t="str"/>
      <x:c r="M185" s="38" t="str"/>
      <x:c r="N185" s="38" t="str"/>
      <x:c r="O185" s="38" t="str"/>
      <x:c r="P185" s="38" t="str"/>
      <x:c r="Q185" s="38" t="str"/>
      <x:c r="R185" s="46"/>
    </x:row>
    <x:row r="186" ht="46" customHeight="1">
      <x:c r="A186" s="38" t="n">
        <x:v>185</x:v>
      </x:c>
      <x:c r="B186" s="38" t="str">
        <x:v>M12 獨立創作者：產品、研究、生活與傳承</x:v>
      </x:c>
      <x:c r="C186" s="38" t="str">
        <x:v>急救與緊急思維</x:v>
      </x:c>
      <x:c r="D186" s="42"/>
      <x:c r="E186" s="42"/>
      <x:c r="F186" s="38" t="str">
        <x:v>未開始</x:v>
      </x:c>
      <x:c r="G186" s="38"/>
      <x:c r="H186" s="38"/>
      <x:c r="I186" s="44" t="n">
        <x:v>0</x:v>
      </x:c>
      <x:c r="J186" s="38" t="str"/>
      <x:c r="K186" s="38" t="str"/>
      <x:c r="L186" s="38" t="str"/>
      <x:c r="M186" s="38" t="str"/>
      <x:c r="N186" s="38" t="str"/>
      <x:c r="O186" s="38" t="str"/>
      <x:c r="P186" s="38" t="str"/>
      <x:c r="Q186" s="38" t="str"/>
      <x:c r="R186" s="46"/>
    </x:row>
    <x:row r="187" ht="46" customHeight="1">
      <x:c r="A187" s="38" t="n">
        <x:v>186</x:v>
      </x:c>
      <x:c r="B187" s="38" t="str">
        <x:v>M12 獨立創作者：產品、研究、生活與傳承</x:v>
      </x:c>
      <x:c r="C187" s="38" t="str">
        <x:v>料理也是工程：量測、流程與衛生</x:v>
      </x:c>
      <x:c r="D187" s="42"/>
      <x:c r="E187" s="42"/>
      <x:c r="F187" s="38" t="str">
        <x:v>未開始</x:v>
      </x:c>
      <x:c r="G187" s="38"/>
      <x:c r="H187" s="38"/>
      <x:c r="I187" s="44" t="n">
        <x:v>0</x:v>
      </x:c>
      <x:c r="J187" s="38" t="str"/>
      <x:c r="K187" s="38" t="str"/>
      <x:c r="L187" s="38" t="str"/>
      <x:c r="M187" s="38" t="str"/>
      <x:c r="N187" s="38" t="str"/>
      <x:c r="O187" s="38" t="str"/>
      <x:c r="P187" s="38" t="str"/>
      <x:c r="Q187" s="38" t="str"/>
      <x:c r="R187" s="46"/>
    </x:row>
    <x:row r="188" ht="46" customHeight="1">
      <x:c r="A188" s="38" t="n">
        <x:v>187</x:v>
      </x:c>
      <x:c r="B188" s="38" t="str">
        <x:v>M12 獨立創作者：產品、研究、生活與傳承</x:v>
      </x:c>
      <x:c r="C188" s="38" t="str">
        <x:v>維修思維：先診斷，不要亂拆</x:v>
      </x:c>
      <x:c r="D188" s="42"/>
      <x:c r="E188" s="42"/>
      <x:c r="F188" s="38" t="str">
        <x:v>未開始</x:v>
      </x:c>
      <x:c r="G188" s="38"/>
      <x:c r="H188" s="38"/>
      <x:c r="I188" s="44" t="n">
        <x:v>0</x:v>
      </x:c>
      <x:c r="J188" s="38" t="str"/>
      <x:c r="K188" s="38" t="str"/>
      <x:c r="L188" s="38" t="str"/>
      <x:c r="M188" s="38" t="str"/>
      <x:c r="N188" s="38" t="str"/>
      <x:c r="O188" s="38" t="str"/>
      <x:c r="P188" s="38" t="str"/>
      <x:c r="Q188" s="38" t="str"/>
      <x:c r="R188" s="46"/>
    </x:row>
    <x:row r="189" ht="46" customHeight="1">
      <x:c r="A189" s="38" t="n">
        <x:v>188</x:v>
      </x:c>
      <x:c r="B189" s="38" t="str">
        <x:v>M12 獨立創作者：產品、研究、生活與傳承</x:v>
      </x:c>
      <x:c r="C189" s="38" t="str">
        <x:v>研究方法：主張、證據、反例與限制</x:v>
      </x:c>
      <x:c r="D189" s="42"/>
      <x:c r="E189" s="42"/>
      <x:c r="F189" s="38" t="str">
        <x:v>未開始</x:v>
      </x:c>
      <x:c r="G189" s="38"/>
      <x:c r="H189" s="38"/>
      <x:c r="I189" s="44" t="n">
        <x:v>0</x:v>
      </x:c>
      <x:c r="J189" s="38" t="str"/>
      <x:c r="K189" s="38" t="str"/>
      <x:c r="L189" s="38" t="str"/>
      <x:c r="M189" s="38" t="str"/>
      <x:c r="N189" s="38" t="str"/>
      <x:c r="O189" s="38" t="str"/>
      <x:c r="P189" s="38" t="str"/>
      <x:c r="Q189" s="38" t="str"/>
      <x:c r="R189" s="46"/>
    </x:row>
    <x:row r="190" ht="46" customHeight="1">
      <x:c r="A190" s="38" t="n">
        <x:v>189</x:v>
      </x:c>
      <x:c r="B190" s="38" t="str">
        <x:v>M12 獨立創作者：產品、研究、生活與傳承</x:v>
      </x:c>
      <x:c r="C190" s="38" t="str">
        <x:v>畢業專題提案</x:v>
      </x:c>
      <x:c r="D190" s="42"/>
      <x:c r="E190" s="42"/>
      <x:c r="F190" s="38" t="str">
        <x:v>未開始</x:v>
      </x:c>
      <x:c r="G190" s="38"/>
      <x:c r="H190" s="38"/>
      <x:c r="I190" s="44" t="n">
        <x:v>0</x:v>
      </x:c>
      <x:c r="J190" s="38" t="str"/>
      <x:c r="K190" s="38" t="str"/>
      <x:c r="L190" s="38" t="str"/>
      <x:c r="M190" s="38" t="str"/>
      <x:c r="N190" s="38" t="str"/>
      <x:c r="O190" s="38" t="str"/>
      <x:c r="P190" s="38" t="str"/>
      <x:c r="Q190" s="38" t="str"/>
      <x:c r="R190" s="46"/>
    </x:row>
    <x:row r="191" ht="46" customHeight="1">
      <x:c r="A191" s="38" t="n">
        <x:v>190</x:v>
      </x:c>
      <x:c r="B191" s="38" t="str">
        <x:v>M12 獨立創作者：產品、研究、生活與傳承</x:v>
      </x:c>
      <x:c r="C191" s="38" t="str">
        <x:v>畢業專題 Build Sprint</x:v>
      </x:c>
      <x:c r="D191" s="42"/>
      <x:c r="E191" s="42"/>
      <x:c r="F191" s="38" t="str">
        <x:v>未開始</x:v>
      </x:c>
      <x:c r="G191" s="38"/>
      <x:c r="H191" s="38"/>
      <x:c r="I191" s="44" t="n">
        <x:v>0</x:v>
      </x:c>
      <x:c r="J191" s="38" t="str"/>
      <x:c r="K191" s="38" t="str"/>
      <x:c r="L191" s="38" t="str"/>
      <x:c r="M191" s="38" t="str"/>
      <x:c r="N191" s="38" t="str"/>
      <x:c r="O191" s="38" t="str"/>
      <x:c r="P191" s="38" t="str"/>
      <x:c r="Q191" s="38" t="str"/>
      <x:c r="R191" s="46"/>
    </x:row>
    <x:row r="192" ht="46" customHeight="1">
      <x:c r="A192" s="38" t="n">
        <x:v>191</x:v>
      </x:c>
      <x:c r="B192" s="38" t="str">
        <x:v>M12 獨立創作者：產品、研究、生活與傳承</x:v>
      </x:c>
      <x:c r="C192" s="38" t="str">
        <x:v>正式製作：文件、影片、來源與發布</x:v>
      </x:c>
      <x:c r="D192" s="42"/>
      <x:c r="E192" s="42"/>
      <x:c r="F192" s="38" t="str">
        <x:v>未開始</x:v>
      </x:c>
      <x:c r="G192" s="38"/>
      <x:c r="H192" s="38"/>
      <x:c r="I192" s="44" t="n">
        <x:v>0</x:v>
      </x:c>
      <x:c r="J192" s="38" t="str"/>
      <x:c r="K192" s="38" t="str"/>
      <x:c r="L192" s="38" t="str"/>
      <x:c r="M192" s="38" t="str"/>
      <x:c r="N192" s="38" t="str"/>
      <x:c r="O192" s="38" t="str"/>
      <x:c r="P192" s="38" t="str"/>
      <x:c r="Q192" s="38" t="str"/>
      <x:c r="R192" s="46"/>
    </x:row>
    <x:row r="193" ht="46" customHeight="1">
      <x:c r="A193" s="38" t="n">
        <x:v>192</x:v>
      </x:c>
      <x:c r="B193" s="38" t="str">
        <x:v>M12 獨立創作者：產品、研究、生活與傳承</x:v>
      </x:c>
      <x:c r="C193" s="38" t="str">
        <x:v>畢業與 Teach-back：換孩子教爸爸</x:v>
      </x:c>
      <x:c r="D193" s="42"/>
      <x:c r="E193" s="42"/>
      <x:c r="F193" s="38" t="str">
        <x:v>未開始</x:v>
      </x:c>
      <x:c r="G193" s="38"/>
      <x:c r="H193" s="38"/>
      <x:c r="I193" s="44" t="n">
        <x:v>0</x:v>
      </x:c>
      <x:c r="J193" s="38" t="str"/>
      <x:c r="K193" s="38" t="str"/>
      <x:c r="L193" s="38" t="str"/>
      <x:c r="M193" s="38" t="str"/>
      <x:c r="N193" s="38" t="str"/>
      <x:c r="O193" s="38" t="str"/>
      <x:c r="P193" s="38" t="str"/>
      <x:c r="Q193" s="38" t="str"/>
      <x:c r="R193" s="46"/>
    </x:row>
  </x:sheetData>
  <x:conditionalFormatting sqref="F2:F193">
    <x:cfRule type="expression" dxfId="4" priority="1">
      <x:formula>F2="已完成"</x:formula>
    </x:cfRule>
    <x:cfRule type="expression" dxfId="5" priority="2">
      <x:formula>F2="補課"</x:formula>
    </x:cfRule>
  </x:conditionalFormatting>
  <x:conditionalFormatting sqref="G2:H193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2:I193">
    <x:cfRule type="dataBar" priority="4">
      <x:dataBar>
        <x:cfvo type="min"/>
        <x:cfvo type="max"/>
        <x:color rgb="FF0F6B78"/>
      </x:dataBar>
      <x:extLst>
        <x:ext xmlns:x14="http://schemas.microsoft.com/office/spreadsheetml/2009/9/main" uri="{B025F937-C7B1-47D3-B67F-A62EFF666E3E}">
          <x14:id>{76365665-64FC-A4F4-CA51-E21BAFE76672}</x14:id>
        </x:ext>
      </x:extLst>
    </x:cfRule>
  </x:conditionalFormatting>
  <x:dataValidations count="2">
    <x:dataValidation type="list" sqref="F2:F193">
      <x:formula1>"未開始,準備中,已完成,補課,跳過"</x:formula1>
    </x:dataValidation>
    <x:dataValidation type="list" sqref="G2:H19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fbca48163d4b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76365665-64FC-A4F4-CA51-E21BAFE76672}">
            <x14:dataBar gradient="1">
              <x14:cfvo type="min"/>
              <x14:cfvo type="max"/>
              <x14:fillColor rgb="FF0F6B78"/>
            </x14:dataBar>
          </x14:cfRule>
          <xm:sqref>I2:I193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</x:cols>
  <x:sheetData>
    <x:row r="1" ht="28" customHeight="1">
      <x:c r="A1" s="6" t="str">
        <x:v>父子科技學院｜進度儀表板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32" t="str">
        <x:v>指標</x:v>
      </x:c>
      <x:c r="B4" s="32" t="str">
        <x:v>目前值</x:v>
      </x:c>
      <x:c r="C4" s="32" t="str">
        <x:v>目標／總數</x:v>
      </x:c>
      <x:c r="D4" s="32" t="str">
        <x:v>說明</x:v>
      </x:c>
    </x:row>
    <x:row r="5">
      <x:c r="A5" s="54" t="str">
        <x:v>總課程數</x:v>
      </x:c>
      <x:c r="B5" s="62" t="n">
        <x:f>COUNTA('逐堂課程'!A2:A193)</x:f>
        <x:v>192</x:v>
      </x:c>
      <x:c r="C5" s="38" t="n">
        <x:v>192</x:v>
      </x:c>
      <x:c r="D5" s="38" t="str">
        <x:v>完整課程庫</x:v>
      </x:c>
    </x:row>
    <x:row r="6">
      <x:c r="A6" s="54" t="str">
        <x:v>已完成堂數</x:v>
      </x:c>
      <x:c r="B6" s="62" t="n">
        <x:f>COUNTIF('教學紀錄'!F2:F193,"已完成")</x:f>
        <x:v>0</x:v>
      </x:c>
      <x:c r="C6" s="38" t="n">
        <x:v>192</x:v>
      </x:c>
      <x:c r="D6" s="38" t="str">
        <x:v>教學紀錄狀態＝已完成</x:v>
      </x:c>
    </x:row>
    <x:row r="7">
      <x:c r="A7" s="54" t="str">
        <x:v>完成率</x:v>
      </x:c>
      <x:c r="B7" s="63" t="n">
        <x:f>IFERROR(B6/B5,0)</x:f>
        <x:v>0</x:v>
      </x:c>
      <x:c r="C7" s="38" t="str">
        <x:v>100%</x:v>
      </x:c>
      <x:c r="D7" s="38" t="str">
        <x:v>已完成／總課程</x:v>
      </x:c>
    </x:row>
    <x:row r="8">
      <x:c r="A8" s="54" t="str">
        <x:v>累積實際時數</x:v>
      </x:c>
      <x:c r="B8" s="64" t="n">
        <x:f>SUM('教學紀錄'!R2:R193)</x:f>
        <x:v>0</x:v>
      </x:c>
      <x:c r="C8" s="38" t="n">
        <x:v>384</x:v>
      </x:c>
      <x:c r="D8" s="38" t="str">
        <x:v>依教學紀錄填寫</x:v>
      </x:c>
    </x:row>
    <x:row r="9">
      <x:c r="A9" s="54" t="str">
        <x:v>平均興趣</x:v>
      </x:c>
      <x:c r="B9" s="64" t="n">
        <x:f>IFERROR(AVERAGE('教學紀錄'!G2:G193),0)</x:f>
        <x:v>0</x:v>
      </x:c>
      <x:c r="C9" s="38" t="n">
        <x:v>5</x:v>
      </x:c>
      <x:c r="D9" s="38" t="str">
        <x:v>孩子自評</x:v>
      </x:c>
    </x:row>
    <x:row r="10">
      <x:c r="A10" s="54" t="str">
        <x:v>平均理解</x:v>
      </x:c>
      <x:c r="B10" s="64" t="n">
        <x:f>IFERROR(AVERAGE('教學紀錄'!H2:H193),0)</x:f>
        <x:v>0</x:v>
      </x:c>
      <x:c r="C10" s="38" t="n">
        <x:v>5</x:v>
      </x:c>
      <x:c r="D10" s="38" t="str">
        <x:v>孩子自評</x:v>
      </x:c>
    </x:row>
    <x:row r="11">
      <x:c r="A11" s="54" t="str">
        <x:v>完成文字稿數</x:v>
      </x:c>
      <x:c r="B11" s="62" t="n">
        <x:f>COUNTIF('教學紀錄'!K2:K193,"?*")</x:f>
        <x:v>0</x:v>
      </x:c>
      <x:c r="C11" s="38" t="n">
        <x:v>192</x:v>
      </x:c>
      <x:c r="D11" s="38" t="str">
        <x:v>有填文字稿連結</x:v>
      </x:c>
    </x:row>
    <x:row r="12">
      <x:c r="A12" s="54" t="str">
        <x:v>發布影片數</x:v>
      </x:c>
      <x:c r="B12" s="62" t="n">
        <x:f>COUNTIF('教學紀錄'!N2:N193,"?*")</x:f>
        <x:v>0</x:v>
      </x:c>
      <x:c r="C12" s="38" t="n">
        <x:v>48</x:v>
      </x:c>
      <x:c r="D12" s="38" t="str">
        <x:v>建議每 4 堂至少一支</x:v>
      </x:c>
    </x:row>
    <x:row r="14">
      <x:c r="A14" s="32" t="str">
        <x:v>模組</x:v>
      </x:c>
      <x:c r="B14" s="32" t="str">
        <x:v>總堂數</x:v>
      </x:c>
      <x:c r="C14" s="32" t="str">
        <x:v>已完成</x:v>
      </x:c>
      <x:c r="D14" s="32" t="str">
        <x:v>完成率</x:v>
      </x:c>
      <x:c r="E14" s="32" t="str">
        <x:v>年度</x:v>
      </x:c>
    </x:row>
    <x:row r="15" ht="34" customHeight="1">
      <x:c r="A15" s="38" t="str">
        <x:v>M01 數位探險家：Mac、網路、AI 與安全</x:v>
      </x:c>
      <x:c r="B15" s="38" t="n">
        <x:v>16</x:v>
      </x:c>
      <x:c r="C15" s="38" t="n">
        <x:f>COUNTIFS('教學紀錄'!$B$2:$B$193,A15,'教學紀錄'!$F$2:$F$193,"已完成")</x:f>
        <x:v>0</x:v>
      </x:c>
      <x:c r="D15" s="44" t="n">
        <x:f>IFERROR(C15/B15,0)</x:f>
        <x:v>0</x:v>
      </x:c>
      <x:c r="E15" s="38" t="str">
        <x:v>第 1 年</x:v>
      </x:c>
    </x:row>
    <x:row r="16" ht="34" customHeight="1">
      <x:c r="A16" s="38" t="str">
        <x:v>M02 Scratch 創意遊戲與計算思維</x:v>
      </x:c>
      <x:c r="B16" s="38" t="n">
        <x:v>16</x:v>
      </x:c>
      <x:c r="C16" s="38" t="n">
        <x:f>COUNTIFS('教學紀錄'!$B$2:$B$193,A16,'教學紀錄'!$F$2:$F$193,"已完成")</x:f>
        <x:v>0</x:v>
      </x:c>
      <x:c r="D16" s="44" t="n">
        <x:f>IFERROR(C16/B16,0)</x:f>
        <x:v>0</x:v>
      </x:c>
      <x:c r="E16" s="38" t="str">
        <x:v>第 1 年</x:v>
      </x:c>
    </x:row>
    <x:row r="17" ht="34" customHeight="1">
      <x:c r="A17" s="38" t="str">
        <x:v>M03 AI 創作與 YouTube 媒體工坊</x:v>
      </x:c>
      <x:c r="B17" s="38" t="n">
        <x:v>16</x:v>
      </x:c>
      <x:c r="C17" s="38" t="n">
        <x:f>COUNTIFS('教學紀錄'!$B$2:$B$193,A17,'教學紀錄'!$F$2:$F$193,"已完成")</x:f>
        <x:v>0</x:v>
      </x:c>
      <x:c r="D17" s="44" t="n">
        <x:f>IFERROR(C17/B17,0)</x:f>
        <x:v>0</x:v>
      </x:c>
      <x:c r="E17" s="38" t="str">
        <x:v>第 1 年</x:v>
      </x:c>
    </x:row>
    <x:row r="18" ht="34" customHeight="1">
      <x:c r="A18" s="38" t="str">
        <x:v>M04 Python 冒險：從文字到小遊戲</x:v>
      </x:c>
      <x:c r="B18" s="38" t="n">
        <x:v>16</x:v>
      </x:c>
      <x:c r="C18" s="38" t="n">
        <x:f>COUNTIFS('教學紀錄'!$B$2:$B$193,A18,'教學紀錄'!$F$2:$F$193,"已完成")</x:f>
        <x:v>0</x:v>
      </x:c>
      <x:c r="D18" s="44" t="n">
        <x:f>IFERROR(C18/B18,0)</x:f>
        <x:v>0</x:v>
      </x:c>
      <x:c r="E18" s="38" t="str">
        <x:v>第 2 年</x:v>
      </x:c>
    </x:row>
    <x:row r="19" ht="34" customHeight="1">
      <x:c r="A19" s="38" t="str">
        <x:v>M05 Web 創作者：我的第一個網站</x:v>
      </x:c>
      <x:c r="B19" s="38" t="n">
        <x:v>16</x:v>
      </x:c>
      <x:c r="C19" s="38" t="n">
        <x:f>COUNTIFS('教學紀錄'!$B$2:$B$193,A19,'教學紀錄'!$F$2:$F$193,"已完成")</x:f>
        <x:v>0</x:v>
      </x:c>
      <x:c r="D19" s="44" t="n">
        <x:f>IFERROR(C19/B19,0)</x:f>
        <x:v>0</x:v>
      </x:c>
      <x:c r="E19" s="38" t="str">
        <x:v>第 2 年</x:v>
      </x:c>
    </x:row>
    <x:row r="20" ht="34" customHeight="1">
      <x:c r="A20" s="38" t="str">
        <x:v>M06 Maker Lab：micro:bit 電子與感測</x:v>
      </x:c>
      <x:c r="B20" s="38" t="n">
        <x:v>16</x:v>
      </x:c>
      <x:c r="C20" s="38" t="n">
        <x:f>COUNTIFS('教學紀錄'!$B$2:$B$193,A20,'教學紀錄'!$F$2:$F$193,"已完成")</x:f>
        <x:v>0</x:v>
      </x:c>
      <x:c r="D20" s="44" t="n">
        <x:f>IFERROR(C20/B20,0)</x:f>
        <x:v>0</x:v>
      </x:c>
      <x:c r="E20" s="38" t="str">
        <x:v>第 2 年</x:v>
      </x:c>
    </x:row>
    <x:row r="21" ht="34" customHeight="1">
      <x:c r="A21" s="38" t="str">
        <x:v>M07 Python 進階、Git 與軟體工程</x:v>
      </x:c>
      <x:c r="B21" s="38" t="n">
        <x:v>16</x:v>
      </x:c>
      <x:c r="C21" s="38" t="n">
        <x:f>COUNTIFS('教學紀錄'!$B$2:$B$193,A21,'教學紀錄'!$F$2:$F$193,"已完成")</x:f>
        <x:v>0</x:v>
      </x:c>
      <x:c r="D21" s="44" t="n">
        <x:f>IFERROR(C21/B21,0)</x:f>
        <x:v>0</x:v>
      </x:c>
      <x:c r="E21" s="38" t="str">
        <x:v>第 3 年</x:v>
      </x:c>
    </x:row>
    <x:row r="22" ht="34" customHeight="1">
      <x:c r="A22" s="38" t="str">
        <x:v>M08 資料科學與電池／能源探險</x:v>
      </x:c>
      <x:c r="B22" s="38" t="n">
        <x:v>16</x:v>
      </x:c>
      <x:c r="C22" s="38" t="n">
        <x:f>COUNTIFS('教學紀錄'!$B$2:$B$193,A22,'教學紀錄'!$F$2:$F$193,"已完成")</x:f>
        <x:v>0</x:v>
      </x:c>
      <x:c r="D22" s="44" t="n">
        <x:f>IFERROR(C22/B22,0)</x:f>
        <x:v>0</x:v>
      </x:c>
      <x:c r="E22" s="38" t="str">
        <x:v>第 3 年</x:v>
      </x:c>
    </x:row>
    <x:row r="23" ht="34" customHeight="1">
      <x:c r="A23" s="38" t="str">
        <x:v>M09 機器學習、生成式 AI 與責任</x:v>
      </x:c>
      <x:c r="B23" s="38" t="n">
        <x:v>16</x:v>
      </x:c>
      <x:c r="C23" s="38" t="n">
        <x:f>COUNTIFS('教學紀錄'!$B$2:$B$193,A23,'教學紀錄'!$F$2:$F$193,"已完成")</x:f>
        <x:v>0</x:v>
      </x:c>
      <x:c r="D23" s="44" t="n">
        <x:f>IFERROR(C23/B23,0)</x:f>
        <x:v>0</x:v>
      </x:c>
      <x:c r="E23" s="38" t="str">
        <x:v>第 3 年</x:v>
      </x:c>
    </x:row>
    <x:row r="24" ht="34" customHeight="1">
      <x:c r="A24" s="38" t="str">
        <x:v>M10 Robot 與 IoT：感知、決策、行動</x:v>
      </x:c>
      <x:c r="B24" s="38" t="n">
        <x:v>16</x:v>
      </x:c>
      <x:c r="C24" s="38" t="n">
        <x:f>COUNTIFS('教學紀錄'!$B$2:$B$193,A24,'教學紀錄'!$F$2:$F$193,"已完成")</x:f>
        <x:v>0</x:v>
      </x:c>
      <x:c r="D24" s="44" t="n">
        <x:f>IFERROR(C24/B24,0)</x:f>
        <x:v>0</x:v>
      </x:c>
      <x:c r="E24" s="38" t="str">
        <x:v>第 4 年</x:v>
      </x:c>
    </x:row>
    <x:row r="25" ht="34" customHeight="1">
      <x:c r="A25" s="38" t="str">
        <x:v>M11 AI Agent 與自動化工程</x:v>
      </x:c>
      <x:c r="B25" s="38" t="n">
        <x:v>16</x:v>
      </x:c>
      <x:c r="C25" s="38" t="n">
        <x:f>COUNTIFS('教學紀錄'!$B$2:$B$193,A25,'教學紀錄'!$F$2:$F$193,"已完成")</x:f>
        <x:v>0</x:v>
      </x:c>
      <x:c r="D25" s="44" t="n">
        <x:f>IFERROR(C25/B25,0)</x:f>
        <x:v>0</x:v>
      </x:c>
      <x:c r="E25" s="38" t="str">
        <x:v>第 4 年</x:v>
      </x:c>
    </x:row>
    <x:row r="26" ht="34" customHeight="1">
      <x:c r="A26" s="38" t="str">
        <x:v>M12 獨立創作者：產品、研究、生活與傳承</x:v>
      </x:c>
      <x:c r="B26" s="38" t="n">
        <x:v>16</x:v>
      </x:c>
      <x:c r="C26" s="38" t="n">
        <x:f>COUNTIFS('教學紀錄'!$B$2:$B$193,A26,'教學紀錄'!$F$2:$F$193,"已完成")</x:f>
        <x:v>0</x:v>
      </x:c>
      <x:c r="D26" s="44" t="n">
        <x:f>IFERROR(C26/B26,0)</x:f>
        <x:v>0</x:v>
      </x:c>
      <x:c r="E26" s="38" t="str">
        <x:v>第 4 年</x:v>
      </x:c>
    </x:row>
    <x:row r="29">
      <x:c r="A29" s="15" t="str">
        <x:v>每 4 堂回顧問題</x:v>
      </x:c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</x:row>
    <x:row r="30" ht="42" customHeight="1">
      <x:c r="A30" s="38" t="str">
        <x:v>1</x:v>
      </x:c>
      <x:c r="B30" s="38" t="str">
        <x:v>孩子最有興趣的是什麼？為什麼？</x:v>
      </x:c>
      <x:c r="C30" s="38" t="str">
        <x:v>2</x:v>
      </x:c>
      <x:c r="D30" s="38" t="str">
        <x:v>哪一段爸爸講太多／做太多？</x:v>
      </x:c>
      <x:c r="E30" s="38" t="str">
        <x:v>3</x:v>
      </x:c>
      <x:c r="F30" s="38" t="str">
        <x:v>孩子能否獨立展示作品？</x:v>
      </x:c>
      <x:c r="G30" s="38" t="str">
        <x:v>4</x:v>
      </x:c>
      <x:c r="H30" s="38" t="str">
        <x:v>下一輪要降低或提高什麼難度？</x:v>
      </x:c>
      <x:c r="I30" s="38" t="str"/>
      <x:c r="J30" s="38" t="str"/>
      <x:c r="K30" s="38" t="str"/>
      <x:c r="L30" s="38" t="str"/>
      <x:c r="M30" s="38" t="str"/>
    </x:row>
    <x:row r="31" ht="42" customHeight="1">
      <x:c r="A31" s="38" t="str">
        <x:v>5</x:v>
      </x:c>
      <x:c r="B31" s="38" t="str">
        <x:v>有哪些素材值得做成影片？</x:v>
      </x:c>
      <x:c r="C31" s="38" t="str">
        <x:v>6</x:v>
      </x:c>
      <x:c r="D31" s="38" t="str">
        <x:v>有沒有涉及隱私、著作權或帳號風險？</x:v>
      </x:c>
      <x:c r="E31" s="38" t="str">
        <x:v>7</x:v>
      </x:c>
      <x:c r="F31" s="38" t="str">
        <x:v>哪個 Bug 最值得保留做教材？</x:v>
      </x:c>
      <x:c r="G31" s="38" t="str">
        <x:v>8</x:v>
      </x:c>
      <x:c r="H31" s="38" t="str">
        <x:v>本月作品集要更新什麼？</x:v>
      </x:c>
      <x:c r="I31" s="38" t="str"/>
      <x:c r="J31" s="38" t="str"/>
      <x:c r="K31" s="38" t="str"/>
      <x:c r="L31" s="38" t="str"/>
      <x:c r="M31" s="38" t="str"/>
    </x:row>
    <x:row r="32" ht="42" customHeight="1">
      <x:c r="A32" s="38" t="str">
        <x:v>規則</x:v>
      </x:c>
      <x:c r="B32" s="38" t="str">
        <x:v>興趣連續兩堂低於 3 分：換題材或玩法，不硬推。</x:v>
      </x:c>
      <x:c r="C32" s="38" t="str"/>
      <x:c r="D32" s="38" t="str"/>
      <x:c r="E32" s="38" t="str"/>
      <x:c r="F32" s="38" t="str"/>
      <x:c r="G32" s="38" t="str"/>
      <x:c r="H32" s="38" t="str"/>
      <x:c r="I32" s="38" t="str"/>
      <x:c r="J32" s="38" t="str"/>
      <x:c r="K32" s="38" t="str"/>
      <x:c r="L32" s="38" t="str"/>
      <x:c r="M32" s="38" t="str"/>
    </x:row>
    <x:row r="33" ht="42" customHeight="1">
      <x:c r="A33" s="38" t="str">
        <x:v>規則</x:v>
      </x:c>
      <x:c r="B33" s="38" t="str">
        <x:v>理解低但興趣高：降低概念密度、增加範例與實作。</x:v>
      </x:c>
      <x:c r="C33" s="38" t="str"/>
      <x:c r="D33" s="38" t="str"/>
      <x:c r="E33" s="38" t="str"/>
      <x:c r="F33" s="38" t="str"/>
      <x:c r="G33" s="38" t="str"/>
      <x:c r="H33" s="38" t="str"/>
      <x:c r="I33" s="38" t="str"/>
      <x:c r="J33" s="38" t="str"/>
      <x:c r="K33" s="38" t="str"/>
      <x:c r="L33" s="38" t="str"/>
      <x:c r="M33" s="38" t="str"/>
    </x:row>
    <x:row r="34" ht="42" customHeight="1">
      <x:c r="A34" s="38" t="str">
        <x:v>規則</x:v>
      </x:c>
      <x:c r="B34" s="38" t="str">
        <x:v>理解高但興趣低：讓孩子選題、加入競賽、真實使用者或創作自由。</x:v>
      </x:c>
      <x:c r="C34" s="38" t="str"/>
      <x:c r="D34" s="38" t="str"/>
      <x:c r="E34" s="38" t="str"/>
      <x:c r="F34" s="38" t="str"/>
      <x:c r="G34" s="38" t="str"/>
      <x:c r="H34" s="38" t="str"/>
      <x:c r="I34" s="38" t="str"/>
      <x:c r="J34" s="38" t="str"/>
      <x:c r="K34" s="38" t="str"/>
      <x:c r="L34" s="38" t="str"/>
      <x:c r="M34" s="38" t="str"/>
    </x:row>
  </x:sheetData>
  <x:mergeCells>
    <x:mergeCell ref="A1:M2"/>
    <x:mergeCell ref="A29:M29"/>
  </x:mergeCells>
  <x:conditionalFormatting sqref="D15:D26">
    <x:cfRule type="dataBar" priority="1">
      <x:dataBar>
        <x:cfvo type="min"/>
        <x:cfvo type="max"/>
        <x:color rgb="FF7030A0"/>
      </x:dataBar>
      <x:extLst>
        <x:ext xmlns:x14="http://schemas.microsoft.com/office/spreadsheetml/2009/9/main" uri="{B025F937-C7B1-47D3-B67F-A62EFF666E3E}">
          <x14:id>{546D3011-DCE7-F44C-9DA0-38683A7CA8C0}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c853d668ce245b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46D3011-DCE7-F44C-9DA0-38683A7CA8C0}">
            <x14:dataBar gradient="1">
              <x14:cfvo type="min"/>
              <x14:cfvo type="max"/>
              <x14:fillColor rgb="FF7030A0"/>
            </x14:dataBar>
          </x14:cfRule>
          <xm:sqref>D15:D26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28" hidden="0" customWidth="1"/>
    <x:col min="5" max="5" width="44" hidden="0" customWidth="1"/>
    <x:col min="6" max="6" width="16" hidden="0" customWidth="1"/>
    <x:col min="7" max="7" width="18" hidden="0" customWidth="1"/>
    <x:col min="8" max="8" width="58" hidden="0" customWidth="1"/>
  </x:cols>
  <x:sheetData>
    <x:row r="1" ht="28" customHeight="1">
      <x:c r="A1" s="32" t="str">
        <x:v>資源 ID</x:v>
      </x:c>
      <x:c r="B1" s="32" t="str">
        <x:v>類別</x:v>
      </x:c>
      <x:c r="C1" s="32" t="str">
        <x:v>資源名稱</x:v>
      </x:c>
      <x:c r="D1" s="32" t="str">
        <x:v>提供者</x:v>
      </x:c>
      <x:c r="E1" s="32" t="str">
        <x:v>適合用途</x:v>
      </x:c>
      <x:c r="F1" s="32" t="str">
        <x:v>程度</x:v>
      </x:c>
      <x:c r="G1" s="32" t="str">
        <x:v>費用／設備</x:v>
      </x:c>
      <x:c r="H1" s="32" t="str">
        <x:v>網址</x:v>
      </x:c>
    </x:row>
    <x:row r="2" ht="46" customHeight="1">
      <x:c r="A2" s="38" t="str">
        <x:v>R01</x:v>
      </x:c>
      <x:c r="B2" s="38" t="str">
        <x:v>Mac 與數位基礎</x:v>
      </x:c>
      <x:c r="C2" s="38" t="str">
        <x:v>Apple Mac 使用手冊</x:v>
      </x:c>
      <x:c r="D2" s="38" t="str">
        <x:v>Apple</x:v>
      </x:c>
      <x:c r="E2" s="38" t="str">
        <x:v>Mac 操作、檔案、隱私與安全</x:v>
      </x:c>
      <x:c r="F2" s="38" t="str">
        <x:v>初階</x:v>
      </x:c>
      <x:c r="G2" s="38" t="str">
        <x:v>免費</x:v>
      </x:c>
      <x:c r="H2" s="38" t="str">
        <x:v>https://support.apple.com/guide/mac-help/welcome/mac</x:v>
      </x:c>
    </x:row>
    <x:row r="3" ht="46" customHeight="1">
      <x:c r="A3" s="38" t="str">
        <x:v>R02</x:v>
      </x:c>
      <x:c r="B3" s="38" t="str">
        <x:v>創意程式</x:v>
      </x:c>
      <x:c r="C3" s="38" t="str">
        <x:v>Scratch</x:v>
      </x:c>
      <x:c r="D3" s="38" t="str">
        <x:v>MIT Scratch</x:v>
      </x:c>
      <x:c r="E3" s="38" t="str">
        <x:v>互動故事、遊戲、動畫</x:v>
      </x:c>
      <x:c r="F3" s="38" t="str">
        <x:v>初階</x:v>
      </x:c>
      <x:c r="G3" s="38" t="str">
        <x:v>免費</x:v>
      </x:c>
      <x:c r="H3" s="38" t="str">
        <x:v>https://scratch.mit.edu/</x:v>
      </x:c>
    </x:row>
    <x:row r="4" ht="46" customHeight="1">
      <x:c r="A4" s="38" t="str">
        <x:v>R03</x:v>
      </x:c>
      <x:c r="B4" s="38" t="str">
        <x:v>創意程式</x:v>
      </x:c>
      <x:c r="C4" s="38" t="str">
        <x:v>Scratch Educator Guides</x:v>
      </x:c>
      <x:c r="D4" s="38" t="str">
        <x:v>MIT Scratch</x:v>
      </x:c>
      <x:c r="E4" s="38" t="str">
        <x:v>教師指南、課程活動與工作坊</x:v>
      </x:c>
      <x:c r="F4" s="38" t="str">
        <x:v>家長/教師</x:v>
      </x:c>
      <x:c r="G4" s="38" t="str">
        <x:v>免費</x:v>
      </x:c>
      <x:c r="H4" s="38" t="str">
        <x:v>https://scratch.mit.edu/educators/</x:v>
      </x:c>
    </x:row>
    <x:row r="5" ht="46" customHeight="1">
      <x:c r="A5" s="38" t="str">
        <x:v>R04</x:v>
      </x:c>
      <x:c r="B5" s="38" t="str">
        <x:v>程式設計</x:v>
      </x:c>
      <x:c r="C5" s="38" t="str">
        <x:v>Swift Playground</x:v>
      </x:c>
      <x:c r="D5" s="38" t="str">
        <x:v>Apple Developer</x:v>
      </x:c>
      <x:c r="E5" s="38" t="str">
        <x:v>在 Mac/iPad 用 Swift 解謎與做 App</x:v>
      </x:c>
      <x:c r="F5" s="38" t="str">
        <x:v>初階～中階</x:v>
      </x:c>
      <x:c r="G5" s="38" t="str">
        <x:v>免費</x:v>
      </x:c>
      <x:c r="H5" s="38" t="str">
        <x:v>https://developer.apple.com/swift-playground/</x:v>
      </x:c>
    </x:row>
    <x:row r="6" ht="46" customHeight="1">
      <x:c r="A6" s="38" t="str">
        <x:v>R05</x:v>
      </x:c>
      <x:c r="B6" s="38" t="str">
        <x:v>硬體與感測</x:v>
      </x:c>
      <x:c r="C6" s="38" t="str">
        <x:v>micro:bit 官方網站</x:v>
      </x:c>
      <x:c r="D6" s="38" t="str">
        <x:v>Micro:bit Educational Foundation</x:v>
      </x:c>
      <x:c r="E6" s="38" t="str">
        <x:v>MakeCode、Python、感測器與無線通訊</x:v>
      </x:c>
      <x:c r="F6" s="38" t="str">
        <x:v>初階～中階</x:v>
      </x:c>
      <x:c r="G6" s="38" t="str">
        <x:v>部分需硬體</x:v>
      </x:c>
      <x:c r="H6" s="38" t="str">
        <x:v>https://microbit.org/</x:v>
      </x:c>
    </x:row>
    <x:row r="7" ht="46" customHeight="1">
      <x:c r="A7" s="38" t="str">
        <x:v>R06</x:v>
      </x:c>
      <x:c r="B7" s="38" t="str">
        <x:v>硬體與感測</x:v>
      </x:c>
      <x:c r="C7" s="38" t="str">
        <x:v>micro:bit Make it: code it</x:v>
      </x:c>
      <x:c r="D7" s="38" t="str">
        <x:v>Micro:bit Educational Foundation</x:v>
      </x:c>
      <x:c r="E7" s="38" t="str">
        <x:v>依程度與功能篩選的動手專案</x:v>
      </x:c>
      <x:c r="F7" s="38" t="str">
        <x:v>初階～中階</x:v>
      </x:c>
      <x:c r="G7" s="38" t="str">
        <x:v>部分需硬體</x:v>
      </x:c>
      <x:c r="H7" s="38" t="str">
        <x:v>https://microbit.org/projects/make-it-code-it/</x:v>
      </x:c>
    </x:row>
    <x:row r="8" ht="46" customHeight="1">
      <x:c r="A8" s="38" t="str">
        <x:v>R07</x:v>
      </x:c>
      <x:c r="B8" s="38" t="str">
        <x:v>AI 素養</x:v>
      </x:c>
      <x:c r="C8" s="38" t="str">
        <x:v>Day of AI</x:v>
      </x:c>
      <x:c r="D8" s="38" t="str">
        <x:v>MIT RAISE</x:v>
      </x:c>
      <x:c r="E8" s="38" t="str">
        <x:v>K–12 AI 課程、活動、評量與教師素材</x:v>
      </x:c>
      <x:c r="F8" s="38" t="str">
        <x:v>初階～中階</x:v>
      </x:c>
      <x:c r="G8" s="38" t="str">
        <x:v>免費</x:v>
      </x:c>
      <x:c r="H8" s="38" t="str">
        <x:v>https://dayofai.org/</x:v>
      </x:c>
    </x:row>
    <x:row r="9" ht="46" customHeight="1">
      <x:c r="A9" s="38" t="str">
        <x:v>R08</x:v>
      </x:c>
      <x:c r="B9" s="38" t="str">
        <x:v>AI 素養</x:v>
      </x:c>
      <x:c r="C9" s="38" t="str">
        <x:v>MIT RAISE Resources</x:v>
      </x:c>
      <x:c r="D9" s="38" t="str">
        <x:v>MIT RAISE</x:v>
      </x:c>
      <x:c r="E9" s="38" t="str">
        <x:v>AI 原理、倫理、社會影響與互動課程</x:v>
      </x:c>
      <x:c r="F9" s="38" t="str">
        <x:v>初階～進階</x:v>
      </x:c>
      <x:c r="G9" s="38" t="str">
        <x:v>免費</x:v>
      </x:c>
      <x:c r="H9" s="38" t="str">
        <x:v>https://raise.mit.edu/resources/</x:v>
      </x:c>
    </x:row>
    <x:row r="10" ht="46" customHeight="1">
      <x:c r="A10" s="38" t="str">
        <x:v>R09</x:v>
      </x:c>
      <x:c r="B10" s="38" t="str">
        <x:v>AI/ML</x:v>
      </x:c>
      <x:c r="C10" s="38" t="str">
        <x:v>AI for Oceans</x:v>
      </x:c>
      <x:c r="D10" s="38" t="str">
        <x:v>Code.org</x:v>
      </x:c>
      <x:c r="E10" s="38" t="str">
        <x:v>訓練資料、分類、偏差與社會議題</x:v>
      </x:c>
      <x:c r="F10" s="38" t="str">
        <x:v>初階</x:v>
      </x:c>
      <x:c r="G10" s="38" t="str">
        <x:v>免費</x:v>
      </x:c>
      <x:c r="H10" s="38" t="str">
        <x:v>https://code.org/oceans</x:v>
      </x:c>
    </x:row>
    <x:row r="11" ht="46" customHeight="1">
      <x:c r="A11" s="38" t="str">
        <x:v>R10</x:v>
      </x:c>
      <x:c r="B11" s="38" t="str">
        <x:v>AI/ML</x:v>
      </x:c>
      <x:c r="C11" s="38" t="str">
        <x:v>Teachable Machine</x:v>
      </x:c>
      <x:c r="D11" s="38" t="str">
        <x:v>Google</x:v>
      </x:c>
      <x:c r="E11" s="38" t="str">
        <x:v>用影像、聲音、姿勢訓練模型</x:v>
      </x:c>
      <x:c r="F11" s="38" t="str">
        <x:v>初階～中階</x:v>
      </x:c>
      <x:c r="G11" s="38" t="str">
        <x:v>免費</x:v>
      </x:c>
      <x:c r="H11" s="38" t="str">
        <x:v>https://teachablemachine.withgoogle.com/</x:v>
      </x:c>
    </x:row>
    <x:row r="12" ht="46" customHeight="1">
      <x:c r="A12" s="38" t="str">
        <x:v>R11</x:v>
      </x:c>
      <x:c r="B12" s="38" t="str">
        <x:v>Python/專案</x:v>
      </x:c>
      <x:c r="C12" s="38" t="str">
        <x:v>Raspberry Pi Projects</x:v>
      </x:c>
      <x:c r="D12" s="38" t="str">
        <x:v>Raspberry Pi Foundation</x:v>
      </x:c>
      <x:c r="E12" s="38" t="str">
        <x:v>200+ 個逐步式程式與創客專案</x:v>
      </x:c>
      <x:c r="F12" s="38" t="str">
        <x:v>初階～進階</x:v>
      </x:c>
      <x:c r="G12" s="38" t="str">
        <x:v>免費</x:v>
      </x:c>
      <x:c r="H12" s="38" t="str">
        <x:v>https://projects.raspberrypi.org/</x:v>
      </x:c>
    </x:row>
    <x:row r="13" ht="46" customHeight="1">
      <x:c r="A13" s="38" t="str">
        <x:v>R12</x:v>
      </x:c>
      <x:c r="B13" s="38" t="str">
        <x:v>Python/專案</x:v>
      </x:c>
      <x:c r="C13" s="38" t="str">
        <x:v>Raspberry Pi Python Projects</x:v>
      </x:c>
      <x:c r="D13" s="38" t="str">
        <x:v>Raspberry Pi Foundation</x:v>
      </x:c>
      <x:c r="E13" s="38" t="str">
        <x:v>Python 遊戲、數位藝術、資料與模型</x:v>
      </x:c>
      <x:c r="F13" s="38" t="str">
        <x:v>初階～中階</x:v>
      </x:c>
      <x:c r="G13" s="38" t="str">
        <x:v>免費</x:v>
      </x:c>
      <x:c r="H13" s="38" t="str">
        <x:v>https://projects.raspberrypi.org/en/collections/python</x:v>
      </x:c>
    </x:row>
    <x:row r="14" ht="46" customHeight="1">
      <x:c r="A14" s="38" t="str">
        <x:v>R13</x:v>
      </x:c>
      <x:c r="B14" s="38" t="str">
        <x:v>程式設計</x:v>
      </x:c>
      <x:c r="C14" s="38" t="str">
        <x:v>Code Club Learn to Code</x:v>
      </x:c>
      <x:c r="D14" s="38" t="str">
        <x:v>Raspberry Pi Foundation</x:v>
      </x:c>
      <x:c r="E14" s="38" t="str">
        <x:v>瀏覽器直接學 Python、HTML/CSS/JS</x:v>
      </x:c>
      <x:c r="F14" s="38" t="str">
        <x:v>初階</x:v>
      </x:c>
      <x:c r="G14" s="38" t="str">
        <x:v>免費</x:v>
      </x:c>
      <x:c r="H14" s="38" t="str">
        <x:v>https://codeclub.org/en/learn-to-code</x:v>
      </x:c>
    </x:row>
    <x:row r="15" ht="46" customHeight="1">
      <x:c r="A15" s="38" t="str">
        <x:v>R14</x:v>
      </x:c>
      <x:c r="B15" s="38" t="str">
        <x:v>Git/協作</x:v>
      </x:c>
      <x:c r="C15" s="38" t="str">
        <x:v>GitHub Skills</x:v>
      </x:c>
      <x:c r="D15" s="38" t="str">
        <x:v>GitHub</x:v>
      </x:c>
      <x:c r="E15" s="38" t="str">
        <x:v>互動式 GitHub、版本控制與協作課程</x:v>
      </x:c>
      <x:c r="F15" s="38" t="str">
        <x:v>初階～進階</x:v>
      </x:c>
      <x:c r="G15" s="38" t="str">
        <x:v>免費</x:v>
      </x:c>
      <x:c r="H15" s="38" t="str">
        <x:v>https://skills.github.com/</x:v>
      </x:c>
    </x:row>
    <x:row r="16" ht="46" customHeight="1">
      <x:c r="A16" s="38" t="str">
        <x:v>R15</x:v>
      </x:c>
      <x:c r="B16" s="38" t="str">
        <x:v>Git/協作</x:v>
      </x:c>
      <x:c r="C16" s="38" t="str">
        <x:v>GitHub Hello World</x:v>
      </x:c>
      <x:c r="D16" s="38" t="str">
        <x:v>GitHub Docs</x:v>
      </x:c>
      <x:c r="E16" s="38" t="str">
        <x:v>Repository、branch、commit、pull request</x:v>
      </x:c>
      <x:c r="F16" s="38" t="str">
        <x:v>初階</x:v>
      </x:c>
      <x:c r="G16" s="38" t="str">
        <x:v>免費</x:v>
      </x:c>
      <x:c r="H16" s="38" t="str">
        <x:v>https://docs.github.com/en/get-started/start-your-journey/hello-world</x:v>
      </x:c>
    </x:row>
    <x:row r="17" ht="46" customHeight="1">
      <x:c r="A17" s="38" t="str">
        <x:v>R16</x:v>
      </x:c>
      <x:c r="B17" s="38" t="str">
        <x:v>Python</x:v>
      </x:c>
      <x:c r="C17" s="38" t="str">
        <x:v>The Python Tutorial</x:v>
      </x:c>
      <x:c r="D17" s="38" t="str">
        <x:v>Python Software Foundation</x:v>
      </x:c>
      <x:c r="E17" s="38" t="str">
        <x:v>Python 語法、控制流程、資料結構與模組</x:v>
      </x:c>
      <x:c r="F17" s="38" t="str">
        <x:v>中階參考</x:v>
      </x:c>
      <x:c r="G17" s="38" t="str">
        <x:v>免費</x:v>
      </x:c>
      <x:c r="H17" s="38" t="str">
        <x:v>https://docs.python.org/3/tutorial/index.html</x:v>
      </x:c>
    </x:row>
    <x:row r="18" ht="46" customHeight="1">
      <x:c r="A18" s="38" t="str">
        <x:v>R17</x:v>
      </x:c>
      <x:c r="B18" s="38" t="str">
        <x:v>Web</x:v>
      </x:c>
      <x:c r="C18" s="38" t="str">
        <x:v>MDN Learn Web Development</x:v>
      </x:c>
      <x:c r="D18" s="38" t="str">
        <x:v>Mozilla</x:v>
      </x:c>
      <x:c r="E18" s="38" t="str">
        <x:v>HTML、CSS、JavaScript、可及性與部署</x:v>
      </x:c>
      <x:c r="F18" s="38" t="str">
        <x:v>初階～中階</x:v>
      </x:c>
      <x:c r="G18" s="38" t="str">
        <x:v>免費</x:v>
      </x:c>
      <x:c r="H18" s="38" t="str">
        <x:v>https://developer.mozilla.org/en-US/docs/Learn_web_development</x:v>
      </x:c>
    </x:row>
    <x:row r="19" ht="46" customHeight="1">
      <x:c r="A19" s="38" t="str">
        <x:v>R18</x:v>
      </x:c>
      <x:c r="B19" s="38" t="str">
        <x:v>電子與控制</x:v>
      </x:c>
      <x:c r="C19" s="38" t="str">
        <x:v>Arduino Documentation</x:v>
      </x:c>
      <x:c r="D19" s="38" t="str">
        <x:v>Arduino</x:v>
      </x:c>
      <x:c r="E19" s="38" t="str">
        <x:v>電子、控制、感測器、馬達與通訊</x:v>
      </x:c>
      <x:c r="F19" s="38" t="str">
        <x:v>初階～進階</x:v>
      </x:c>
      <x:c r="G19" s="38" t="str">
        <x:v>部分需硬體</x:v>
      </x:c>
      <x:c r="H19" s="38" t="str">
        <x:v>https://docs.arduino.cc/</x:v>
      </x:c>
    </x:row>
    <x:row r="20" ht="46" customHeight="1">
      <x:c r="A20" s="38" t="str">
        <x:v>R19</x:v>
      </x:c>
      <x:c r="B20" s="38" t="str">
        <x:v>TinyML</x:v>
      </x:c>
      <x:c r="C20" s="38" t="str">
        <x:v>Machine Learning on Arduino</x:v>
      </x:c>
      <x:c r="D20" s="38" t="str">
        <x:v>Arduino</x:v>
      </x:c>
      <x:c r="E20" s="38" t="str">
        <x:v>在微控制器上訓練與部署機器學習模型</x:v>
      </x:c>
      <x:c r="F20" s="38" t="str">
        <x:v>進階</x:v>
      </x:c>
      <x:c r="G20" s="38" t="str">
        <x:v>需相容硬體</x:v>
      </x:c>
      <x:c r="H20" s="38" t="str">
        <x:v>https://docs.arduino.cc/tutorials/nano-33-ble-sense/get-started-with-machine-learning/</x:v>
      </x:c>
    </x:row>
    <x:row r="21" ht="46" customHeight="1">
      <x:c r="A21" s="38" t="str">
        <x:v>R20</x:v>
      </x:c>
      <x:c r="B21" s="38" t="str">
        <x:v>生成式 AI</x:v>
      </x:c>
      <x:c r="C21" s="38" t="str">
        <x:v>OpenAI Academy</x:v>
      </x:c>
      <x:c r="D21" s="38" t="str">
        <x:v>OpenAI</x:v>
      </x:c>
      <x:c r="E21" s="38" t="str">
        <x:v>AI、LLM、ChatGPT 基礎與責任使用</x:v>
      </x:c>
      <x:c r="F21" s="38" t="str">
        <x:v>初階～進階</x:v>
      </x:c>
      <x:c r="G21" s="38" t="str">
        <x:v>免費/需帳號</x:v>
      </x:c>
      <x:c r="H21" s="38" t="str">
        <x:v>https://academy.openai.com/</x:v>
      </x:c>
    </x:row>
    <x:row r="22" ht="46" customHeight="1">
      <x:c r="A22" s="38" t="str">
        <x:v>R21</x:v>
      </x:c>
      <x:c r="B22" s="38" t="str">
        <x:v>生成式 AI</x:v>
      </x:c>
      <x:c r="C22" s="38" t="str">
        <x:v>OpenAI Academy：Prompting</x:v>
      </x:c>
      <x:c r="D22" s="38" t="str">
        <x:v>OpenAI</x:v>
      </x:c>
      <x:c r="E22" s="38" t="str">
        <x:v>清楚指令、背景、輸出格式與反覆修正</x:v>
      </x:c>
      <x:c r="F22" s="38" t="str">
        <x:v>初階～中階</x:v>
      </x:c>
      <x:c r="G22" s="38" t="str">
        <x:v>免費/需帳號</x:v>
      </x:c>
      <x:c r="H22" s="38" t="str">
        <x:v>https://academy.openai.com/public/clubs/work-users-ynjqu/resources/prompting</x:v>
      </x:c>
    </x:row>
    <x:row r="23" ht="46" customHeight="1">
      <x:c r="A23" s="38" t="str">
        <x:v>R22</x:v>
      </x:c>
      <x:c r="B23" s="38" t="str">
        <x:v>數位安全</x:v>
      </x:c>
      <x:c r="C23" s="38" t="str">
        <x:v>Recognize and Avoid Phishing</x:v>
      </x:c>
      <x:c r="D23" s="38" t="str">
        <x:v>U.S. FTC</x:v>
      </x:c>
      <x:c r="E23" s="38" t="str">
        <x:v>辨識釣魚信、假連結與社交工程</x:v>
      </x:c>
      <x:c r="F23" s="38" t="str">
        <x:v>全齡</x:v>
      </x:c>
      <x:c r="G23" s="38" t="str">
        <x:v>免費</x:v>
      </x:c>
      <x:c r="H23" s="38" t="str">
        <x:v>https://consumer.ftc.gov/articles/how-recognize-avoid-phishing-scams</x:v>
      </x:c>
    </x:row>
    <x:row r="24" ht="46" customHeight="1">
      <x:c r="A24" s="38" t="str">
        <x:v>R23</x:v>
      </x:c>
      <x:c r="B24" s="38" t="str">
        <x:v>數位安全</x:v>
      </x:c>
      <x:c r="C24" s="38" t="str">
        <x:v>Online Privacy and Security</x:v>
      </x:c>
      <x:c r="D24" s="38" t="str">
        <x:v>U.S. FTC</x:v>
      </x:c>
      <x:c r="E24" s="38" t="str">
        <x:v>帳號、裝置、隱私、詐騙與家用網路安全</x:v>
      </x:c>
      <x:c r="F24" s="38" t="str">
        <x:v>全齡</x:v>
      </x:c>
      <x:c r="G24" s="38" t="str">
        <x:v>免費</x:v>
      </x:c>
      <x:c r="H24" s="38" t="str">
        <x:v>https://consumer.ftc.gov/identity-theft-and-online-security/online-privacy-and-security</x:v>
      </x:c>
    </x:row>
    <x:row r="25" ht="46" customHeight="1">
      <x:c r="A25" s="38" t="str">
        <x:v>R24</x:v>
      </x:c>
      <x:c r="B25" s="38" t="str">
        <x:v>數位安全</x:v>
      </x:c>
      <x:c r="C25" s="38" t="str">
        <x:v>Google Safety Center</x:v>
      </x:c>
      <x:c r="D25" s="38" t="str">
        <x:v>Google</x:v>
      </x:c>
      <x:c r="E25" s="38" t="str">
        <x:v>家庭數位規範、隱私與安全工具</x:v>
      </x:c>
      <x:c r="F25" s="38" t="str">
        <x:v>家長/孩子</x:v>
      </x:c>
      <x:c r="G25" s="38" t="str">
        <x:v>免費</x:v>
      </x:c>
      <x:c r="H25" s="38" t="str">
        <x:v>https://safety.google/intl/en_us/safety/security-tips/</x:v>
      </x:c>
    </x:row>
    <x:row r="26" ht="46" customHeight="1">
      <x:c r="A26" s="38" t="str">
        <x:v>R25</x:v>
      </x:c>
      <x:c r="B26" s="38" t="str">
        <x:v>生活安全</x:v>
      </x:c>
      <x:c r="C26" s="38" t="str">
        <x:v>中華民國紅十字會教育訓練</x:v>
      </x:c>
      <x:c r="D26" s="38" t="str">
        <x:v>中華民國紅十字會</x:v>
      </x:c>
      <x:c r="E26" s="38" t="str">
        <x:v>CPR、AED、基本救命術與急救正式課程</x:v>
      </x:c>
      <x:c r="F26" s="38" t="str">
        <x:v>需依年齡與規定</x:v>
      </x:c>
      <x:c r="G26" s="38" t="str">
        <x:v>付費/依課程</x:v>
      </x:c>
      <x:c r="H26" s="38" t="str">
        <x:v>https://www.redcross-class.org.tw/course</x:v>
      </x:c>
    </x:row>
    <x:row r="27" ht="46" customHeight="1">
      <x:c r="A27" s="38" t="str">
        <x:v>R26</x:v>
      </x:c>
      <x:c r="B27" s="38" t="str">
        <x:v>內容創作</x:v>
      </x:c>
      <x:c r="C27" s="38" t="str">
        <x:v>YouTube Creator Academy / Guidelines</x:v>
      </x:c>
      <x:c r="D27" s="38" t="str">
        <x:v>YouTube</x:v>
      </x:c>
      <x:c r="E27" s="38" t="str">
        <x:v>頻道、縮圖、著作權、社群規範與發布</x:v>
      </x:c>
      <x:c r="F27" s="38" t="str">
        <x:v>家長陪同</x:v>
      </x:c>
      <x:c r="G27" s="38" t="str">
        <x:v>免費</x:v>
      </x:c>
      <x:c r="H27" s="38" t="str">
        <x:v>https://creatoracademy.youtube.com/page/lesson/copyright-guidelines</x:v>
      </x:c>
    </x:row>
    <x:row r="28" ht="46" customHeight="1">
      <x:c r="A28" s="38" t="str">
        <x:v>R27</x:v>
      </x:c>
      <x:c r="B28" s="38" t="str">
        <x:v>生活與科學</x:v>
      </x:c>
      <x:c r="C28" s="38" t="str">
        <x:v>Khan Academy</x:v>
      </x:c>
      <x:c r="D28" s="38" t="str">
        <x:v>Khan Academy</x:v>
      </x:c>
      <x:c r="E28" s="38" t="str">
        <x:v>數學、科學、經濟、財務與程式基礎</x:v>
      </x:c>
      <x:c r="F28" s="38" t="str">
        <x:v>初階～進階</x:v>
      </x:c>
      <x:c r="G28" s="38" t="str">
        <x:v>免費</x:v>
      </x:c>
      <x:c r="H28" s="38" t="str">
        <x:v>https://www.khanacademy.org/</x:v>
      </x:c>
    </x:row>
  </x:sheetData>
  <x:pageMargins left="0.7" right="0.7" top="0.75" bottom="0.75" header="0.3" footer="0.3"/>
  <x:tableParts count="1">
    <x:tablePart xmlns:r="http://schemas.openxmlformats.org/officeDocument/2006/relationships" r:id="R7b04a47efab1451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52" hidden="0" customWidth="1"/>
    <x:col min="4" max="4" width="26" hidden="0" customWidth="1"/>
    <x:col min="5" max="5" width="32" hidden="0" customWidth="1"/>
    <x:col min="6" max="6" width="38" hidden="0" customWidth="1"/>
    <x:col min="7" max="7" width="24" hidden="0" customWidth="1"/>
    <x:col min="8" max="8" width="14" hidden="0" customWidth="1"/>
  </x:cols>
  <x:sheetData>
    <x:row r="1" ht="28" customHeight="1">
      <x:c r="A1" s="6" t="str">
        <x:v>課程錄音 → 線上素材內容工廠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4">
      <x:c r="A4" s="32" t="str">
        <x:v>步驟</x:v>
      </x:c>
      <x:c r="B4" s="32" t="str">
        <x:v>輸入</x:v>
      </x:c>
      <x:c r="C4" s="32" t="str">
        <x:v>操作</x:v>
      </x:c>
      <x:c r="D4" s="32" t="str">
        <x:v>輸出</x:v>
      </x:c>
      <x:c r="E4" s="32" t="str">
        <x:v>檔名規則</x:v>
      </x:c>
      <x:c r="F4" s="32" t="str">
        <x:v>品質門檻</x:v>
      </x:c>
      <x:c r="G4" s="32" t="str">
        <x:v>建議工具類型</x:v>
      </x:c>
      <x:c r="H4" s="32" t="str">
        <x:v>家長審核</x:v>
      </x:c>
    </x:row>
    <x:row r="5" ht="66" customHeight="1">
      <x:c r="A5" s="38" t="str">
        <x:v>1. 課程錄音</x:v>
      </x:c>
      <x:c r="B5" s="38" t="str">
        <x:v>每堂課父子對話</x:v>
      </x:c>
      <x:c r="C5" s="38" t="str">
        <x:v>全程或重點錄音；開始先說課次與主題；避免錄入帳密/個資</x:v>
      </x:c>
      <x:c r="D5" s="38" t="str">
        <x:v>原始音檔</x:v>
      </x:c>
      <x:c r="E5" s="38" t="str">
        <x:v>YYYY-MM-DD_S###_topic_raw.m4a</x:v>
      </x:c>
      <x:c r="F5" s="38" t="str">
        <x:v>聲音可辨識、無敏感資訊</x:v>
      </x:c>
      <x:c r="G5" s="38" t="str">
        <x:v>手機/電腦錄音</x:v>
      </x:c>
      <x:c r="H5" s="38" t="str">
        <x:v>必要</x:v>
      </x:c>
    </x:row>
    <x:row r="6" ht="66" customHeight="1">
      <x:c r="A6" s="38" t="str">
        <x:v>2. 語音轉文字</x:v>
      </x:c>
      <x:c r="B6" s="38" t="str">
        <x:v>原始音檔</x:v>
      </x:c>
      <x:c r="C6" s="38" t="str">
        <x:v>轉錄並保留時間碼；建立專有名詞表</x:v>
      </x:c>
      <x:c r="D6" s="38" t="str">
        <x:v>逐字稿</x:v>
      </x:c>
      <x:c r="E6" s="38" t="str">
        <x:v>S###_transcript_raw.md</x:v>
      </x:c>
      <x:c r="F6" s="38" t="str">
        <x:v>說話者區分、錯字可追查</x:v>
      </x:c>
      <x:c r="G6" s="38" t="str">
        <x:v>Whisper 類 STT</x:v>
      </x:c>
      <x:c r="H6" s="38" t="str">
        <x:v>抽查</x:v>
      </x:c>
    </x:row>
    <x:row r="7" ht="66" customHeight="1">
      <x:c r="A7" s="38" t="str">
        <x:v>3. 文字稿清理</x:v>
      </x:c>
      <x:c r="B7" s="38" t="str">
        <x:v>逐字稿＋課程表</x:v>
      </x:c>
      <x:c r="C7" s="38" t="str">
        <x:v>刪贅詞、分段、保留父子互動、查核數字與來源</x:v>
      </x:c>
      <x:c r="D7" s="38" t="str">
        <x:v>可讀文字稿</x:v>
      </x:c>
      <x:c r="E7" s="38" t="str">
        <x:v>S###_transcript_clean.md</x:v>
      </x:c>
      <x:c r="F7" s="38" t="str">
        <x:v>不扭曲原意、來源可核對</x:v>
      </x:c>
      <x:c r="G7" s="38" t="str">
        <x:v>AI＋人工校正</x:v>
      </x:c>
      <x:c r="H7" s="38" t="str">
        <x:v>必要</x:v>
      </x:c>
    </x:row>
    <x:row r="8" ht="66" customHeight="1">
      <x:c r="A8" s="38" t="str">
        <x:v>4. 教學講義</x:v>
      </x:c>
      <x:c r="B8" s="38" t="str">
        <x:v>清理文字稿＋作品</x:v>
      </x:c>
      <x:c r="C8" s="38" t="str">
        <x:v>整理學習目標、核心概念、步驟、Bug、延伸題</x:v>
      </x:c>
      <x:c r="D8" s="38" t="str">
        <x:v>講義/文章</x:v>
      </x:c>
      <x:c r="E8" s="38" t="str">
        <x:v>S###_lesson.md</x:v>
      </x:c>
      <x:c r="F8" s="38" t="str">
        <x:v>讀者可重做作品</x:v>
      </x:c>
      <x:c r="G8" s="38" t="str">
        <x:v>Markdown/文件工具</x:v>
      </x:c>
      <x:c r="H8" s="38" t="str">
        <x:v>必要</x:v>
      </x:c>
    </x:row>
    <x:row r="9" ht="66" customHeight="1">
      <x:c r="A9" s="38" t="str">
        <x:v>5. PPT</x:v>
      </x:c>
      <x:c r="B9" s="38" t="str">
        <x:v>講義＋截圖＋圖解</x:v>
      </x:c>
      <x:c r="C9" s="38" t="str">
        <x:v>一頁一重點；加入任務、流程、程式碼、結果與反思</x:v>
      </x:c>
      <x:c r="D9" s="38" t="str">
        <x:v>簡報檔</x:v>
      </x:c>
      <x:c r="E9" s="38" t="str">
        <x:v>S###_slides.pptx</x:v>
      </x:c>
      <x:c r="F9" s="38" t="str">
        <x:v>可在 5–10 分鐘內說清楚</x:v>
      </x:c>
      <x:c r="G9" s="38" t="str">
        <x:v>簡報生成＋人工排版</x:v>
      </x:c>
      <x:c r="H9" s="38" t="str">
        <x:v>必要</x:v>
      </x:c>
    </x:row>
    <x:row r="10" ht="66" customHeight="1">
      <x:c r="A10" s="38" t="str">
        <x:v>6. TTS 旁白</x:v>
      </x:c>
      <x:c r="B10" s="38" t="str">
        <x:v>口語化講稿</x:v>
      </x:c>
      <x:c r="C10" s="38" t="str">
        <x:v>縮短句子、標記停頓、校正中英文專有名詞</x:v>
      </x:c>
      <x:c r="D10" s="38" t="str">
        <x:v>旁白音檔</x:v>
      </x:c>
      <x:c r="E10" s="38" t="str">
        <x:v>S###_tts.wav</x:v>
      </x:c>
      <x:c r="F10" s="38" t="str">
        <x:v>自然、無錯讀、音量一致</x:v>
      </x:c>
      <x:c r="G10" s="38" t="str">
        <x:v>TTS</x:v>
      </x:c>
      <x:c r="H10" s="38" t="str">
        <x:v>必要</x:v>
      </x:c>
    </x:row>
    <x:row r="11" ht="66" customHeight="1">
      <x:c r="A11" s="38" t="str">
        <x:v>7. 剪輯與包裝</x:v>
      </x:c>
      <x:c r="B11" s="38" t="str">
        <x:v>畫面、PPT、旁白、作品錄屏</x:v>
      </x:c>
      <x:c r="C11" s="38" t="str">
        <x:v>加入章節、字幕、來源、縮圖與片尾；不公開個資</x:v>
      </x:c>
      <x:c r="D11" s="38" t="str">
        <x:v>影片＋縮圖</x:v>
      </x:c>
      <x:c r="E11" s="38" t="str">
        <x:v>S###_video_v1.mp4</x:v>
      </x:c>
      <x:c r="F11" s="38" t="str">
        <x:v>內容正確、節奏清楚、授權完整</x:v>
      </x:c>
      <x:c r="G11" s="38" t="str">
        <x:v>剪輯工具</x:v>
      </x:c>
      <x:c r="H11" s="38" t="str">
        <x:v>必要</x:v>
      </x:c>
    </x:row>
    <x:row r="12" ht="66" customHeight="1">
      <x:c r="A12" s="38" t="str">
        <x:v>8. 發布與歸檔</x:v>
      </x:c>
      <x:c r="B12" s="38" t="str">
        <x:v>影片與來源表</x:v>
      </x:c>
      <x:c r="C12" s="38" t="str">
        <x:v>填標題、說明、章節、來源、播放清單；封存原始素材</x:v>
      </x:c>
      <x:c r="D12" s="38" t="str">
        <x:v>YouTube/家庭雲端素材</x:v>
      </x:c>
      <x:c r="E12" s="38" t="str">
        <x:v>S###_release/</x:v>
      </x:c>
      <x:c r="F12" s="38" t="str">
        <x:v>連結可用、版本與來源齊全</x:v>
      </x:c>
      <x:c r="G12" s="38" t="str">
        <x:v>YouTube＋Git/GDrive</x:v>
      </x:c>
      <x:c r="H12" s="38" t="str">
        <x:v>最終確認</x:v>
      </x:c>
    </x:row>
    <x:row r="15">
      <x:c r="A15" s="15" t="str">
        <x:v>可直接交給 AI 的 Prompt 模板</x:v>
      </x:c>
      <x:c r="B15" s="15"/>
      <x:c r="C15" s="15"/>
      <x:c r="D15" s="15"/>
      <x:c r="E15" s="15"/>
      <x:c r="F15" s="15"/>
      <x:c r="G15" s="15"/>
      <x:c r="H15" s="15"/>
    </x:row>
    <x:row r="16">
      <x:c r="A16" s="32" t="str">
        <x:v>模板</x:v>
      </x:c>
      <x:c r="B16" s="32" t="str">
        <x:v>Prompt</x:v>
      </x:c>
      <x:c r="C16" s="32" t="str"/>
      <x:c r="D16" s="32" t="str"/>
      <x:c r="E16" s="32" t="str"/>
      <x:c r="F16" s="32" t="str"/>
      <x:c r="G16" s="32" t="str"/>
      <x:c r="H16" s="32" t="str"/>
    </x:row>
    <x:row r="17" ht="54" customHeight="1">
      <x:c r="A17" s="80" t="str">
        <x:v>文字稿清理</x:v>
      </x:c>
      <x:c r="B17" s="77" t="str">
        <x:v>你是兒童科技課程編輯。請依照以下規則整理逐字稿：
1. 保留孩子的問題、猜測、錯誤與修正過程。
2. 刪除無意義贅詞，但不要把口語改成僵硬論文。
3. 專有名詞第一次出現時補一行白話解釋。
4. 所有數字、日期、產品名稱與外部事實標記【待查核】。
5. 輸出：課程摘要、整理後逐字稿、關鍵觀念、Bug 與解法、延伸問題、可引用金句。
輸入：{{課次資料}}＋{{逐字稿}}</x:v>
      </x:c>
      <x:c r="C17" s="77"/>
      <x:c r="D17" s="77"/>
      <x:c r="E17" s="77"/>
      <x:c r="F17" s="77"/>
      <x:c r="G17" s="77"/>
      <x:c r="H17" s="77"/>
    </x:row>
    <x:row r="18" ht="54" customHeight="1">
      <x:c r="A18" s="77"/>
      <x:c r="B18" s="77"/>
      <x:c r="C18" s="77"/>
      <x:c r="D18" s="77"/>
      <x:c r="E18" s="77"/>
      <x:c r="F18" s="77"/>
      <x:c r="G18" s="77"/>
      <x:c r="H18" s="77"/>
    </x:row>
    <x:row r="19" ht="54" customHeight="1">
      <x:c r="A19" s="77"/>
      <x:c r="B19" s="77"/>
      <x:c r="C19" s="77"/>
      <x:c r="D19" s="77"/>
      <x:c r="E19" s="77"/>
      <x:c r="F19" s="77"/>
      <x:c r="G19" s="77"/>
      <x:c r="H19" s="77"/>
    </x:row>
    <x:row r="21" ht="54" customHeight="1">
      <x:c r="A21" s="80" t="str">
        <x:v>PPT 產生</x:v>
      </x:c>
      <x:c r="B21" s="77" t="str">
        <x:v>請把以下父子科技課整理成 8–12 頁簡報。
觀眾：10–16 歲學生與家長。
結構：任務開場→為什麼重要→核心概念→動手步驟→遇到的 Bug→成果→生活應用→挑戰題。
每頁只講一件事；每頁包含標題、3–5 個要點、建議圖示/畫面、講者備註。
程式碼只保留最關鍵片段，並附驗收標準。
輸入：{{課程表列}}＋{{整理後文字稿}}＋{{作品資訊}}</x:v>
      </x:c>
      <x:c r="C21" s="77"/>
      <x:c r="D21" s="77"/>
      <x:c r="E21" s="77"/>
      <x:c r="F21" s="77"/>
      <x:c r="G21" s="77"/>
      <x:c r="H21" s="77"/>
    </x:row>
    <x:row r="22" ht="54" customHeight="1">
      <x:c r="A22" s="77"/>
      <x:c r="B22" s="77"/>
      <x:c r="C22" s="77"/>
      <x:c r="D22" s="77"/>
      <x:c r="E22" s="77"/>
      <x:c r="F22" s="77"/>
      <x:c r="G22" s="77"/>
      <x:c r="H22" s="77"/>
    </x:row>
    <x:row r="23" ht="54" customHeight="1">
      <x:c r="A23" s="77"/>
      <x:c r="B23" s="77"/>
      <x:c r="C23" s="77"/>
      <x:c r="D23" s="77"/>
      <x:c r="E23" s="77"/>
      <x:c r="F23" s="77"/>
      <x:c r="G23" s="77"/>
      <x:c r="H23" s="77"/>
    </x:row>
    <x:row r="25" ht="54" customHeight="1">
      <x:c r="A25" s="80" t="str">
        <x:v>TTS 講稿</x:v>
      </x:c>
      <x:c r="B25" s="77" t="str">
        <x:v>請把簡報講者備註改成自然的繁體中文旁白。
規則：每句 12–25 字；避免連續長清單；英文專有名詞附建議讀法；用【停頓 0.5 秒】標記節奏。
保留父子互動與孩子的發現，不要假裝所有事情一次成功。
輸出逐頁旁白與總時長估計。</x:v>
      </x:c>
      <x:c r="C25" s="77"/>
      <x:c r="D25" s="77"/>
      <x:c r="E25" s="77"/>
      <x:c r="F25" s="77"/>
      <x:c r="G25" s="77"/>
      <x:c r="H25" s="77"/>
    </x:row>
    <x:row r="26" ht="54" customHeight="1">
      <x:c r="A26" s="77"/>
      <x:c r="B26" s="77"/>
      <x:c r="C26" s="77"/>
      <x:c r="D26" s="77"/>
      <x:c r="E26" s="77"/>
      <x:c r="F26" s="77"/>
      <x:c r="G26" s="77"/>
      <x:c r="H26" s="77"/>
    </x:row>
    <x:row r="27" ht="54" customHeight="1">
      <x:c r="A27" s="77"/>
      <x:c r="B27" s="77"/>
      <x:c r="C27" s="77"/>
      <x:c r="D27" s="77"/>
      <x:c r="E27" s="77"/>
      <x:c r="F27" s="77"/>
      <x:c r="G27" s="77"/>
      <x:c r="H27" s="77"/>
    </x:row>
    <x:row r="29" ht="54" customHeight="1">
      <x:c r="A29" s="80" t="str">
        <x:v>YouTube 包裝</x:v>
      </x:c>
      <x:c r="B29" s="77" t="str">
        <x:v>根據課程內容產生：
1. 5 個誠實、不誇張的標題。
2. 3 個縮圖文字（每個不超過 8 個中文字）。
3. 150–250 字影片說明。
4. 章節時間碼草稿。
5. 來源清單與安全/隱私檢查。
6. 一個觀眾可實作的課後挑戰。
輸入：{{課程摘要}}＋{{影片長度}}＋{{來源}}</x:v>
      </x:c>
      <x:c r="C29" s="77"/>
      <x:c r="D29" s="77"/>
      <x:c r="E29" s="77"/>
      <x:c r="F29" s="77"/>
      <x:c r="G29" s="77"/>
      <x:c r="H29" s="77"/>
    </x:row>
    <x:row r="30" ht="54" customHeight="1">
      <x:c r="A30" s="77"/>
      <x:c r="B30" s="77"/>
      <x:c r="C30" s="77"/>
      <x:c r="D30" s="77"/>
      <x:c r="E30" s="77"/>
      <x:c r="F30" s="77"/>
      <x:c r="G30" s="77"/>
      <x:c r="H30" s="77"/>
    </x:row>
    <x:row r="31" ht="54" customHeight="1">
      <x:c r="A31" s="77"/>
      <x:c r="B31" s="77"/>
      <x:c r="C31" s="77"/>
      <x:c r="D31" s="77"/>
      <x:c r="E31" s="77"/>
      <x:c r="F31" s="77"/>
      <x:c r="G31" s="77"/>
      <x:c r="H31" s="77"/>
    </x:row>
  </x:sheetData>
  <x:mergeCells>
    <x:mergeCell ref="A1:H2"/>
    <x:mergeCell ref="A15:H15"/>
    <x:mergeCell ref="B17:H19"/>
    <x:mergeCell ref="B21:H23"/>
    <x:mergeCell ref="B25:H27"/>
    <x:mergeCell ref="B29:H31"/>
  </x:mergeCells>
  <x:pageMargins left="0.7" right="0.7" top="0.75" bottom="0.75" header="0.3" footer="0.3"/>
  <x:tableParts count="1">
    <x:tablePart xmlns:r="http://schemas.openxmlformats.org/officeDocument/2006/relationships" r:id="R3cba727cad5d459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8" hidden="0" customWidth="1"/>
    <x:col min="4" max="4" width="10" hidden="0" customWidth="1"/>
    <x:col min="5" max="5" width="34" hidden="0" customWidth="1"/>
    <x:col min="6" max="6" width="9" hidden="0" customWidth="1"/>
    <x:col min="7" max="7" width="22" hidden="0" customWidth="1"/>
    <x:col min="8" max="8" width="42" hidden="0" customWidth="1"/>
    <x:col min="9" max="9" width="48" hidden="0" customWidth="1"/>
    <x:col min="10" max="10" width="18" hidden="0" customWidth="1"/>
    <x:col min="11" max="11" width="14" hidden="0" customWidth="1"/>
    <x:col min="12" max="12" width="38" hidden="0" customWidth="1"/>
    <x:col min="13" max="13" width="14" hidden="0" customWidth="1"/>
    <x:col min="14" max="14" width="34" hidden="0" customWidth="1"/>
    <x:col min="15" max="15" width="42" hidden="0" customWidth="1"/>
  </x:cols>
  <x:sheetData>
    <x:row r="1">
      <x:c r="A1" s="87" t="str">
        <x:v>總課次</x:v>
      </x:c>
      <x:c r="B1" s="87" t="str">
        <x:v>年度</x:v>
      </x:c>
      <x:c r="C1" s="87" t="str">
        <x:v>模組</x:v>
      </x:c>
      <x:c r="D1" s="87" t="str">
        <x:v>模組內課次</x:v>
      </x:c>
      <x:c r="E1" s="87" t="str">
        <x:v>課程主題</x:v>
      </x:c>
      <x:c r="F1" s="87" t="str">
        <x:v>影片序號</x:v>
      </x:c>
      <x:c r="G1" s="87" t="str">
        <x:v>推薦取向</x:v>
      </x:c>
      <x:c r="H1" s="87" t="str">
        <x:v>搜尋關鍵字</x:v>
      </x:c>
      <x:c r="I1" s="87" t="str">
        <x:v>YouTube 動態搜尋連結</x:v>
      </x:c>
      <x:c r="J1" s="87" t="str">
        <x:v>觀看時機</x:v>
      </x:c>
      <x:c r="K1" s="87" t="str">
        <x:v>建議長度</x:v>
      </x:c>
      <x:c r="L1" s="87" t="str">
        <x:v>挑選準則</x:v>
      </x:c>
      <x:c r="M1" s="87" t="str">
        <x:v>使用狀態</x:v>
      </x:c>
      <x:c r="N1" s="87" t="str">
        <x:v>最後選定影片標題</x:v>
      </x:c>
      <x:c r="O1" s="87" t="str">
        <x:v>觀看／教學筆記</x:v>
      </x:c>
    </x:row>
    <x:row r="2">
      <x:c r="A2" s="38" t="n">
        <x:v>1</x:v>
      </x:c>
      <x:c r="B2" s="38" t="str">
        <x:v>第 1 年</x:v>
      </x:c>
      <x:c r="C2" s="38" t="str">
        <x:v>M01 數位探險家：Mac、網路、AI 與安全</x:v>
      </x:c>
      <x:c r="D2" s="38" t="n">
        <x:v>1</x:v>
      </x:c>
      <x:c r="E2" s="38" t="str">
        <x:v>開學任務：把 MacBook 變成我的工作站</x:v>
      </x:c>
      <x:c r="F2" s="38" t="n">
        <x:v>1</x:v>
      </x:c>
      <x:c r="G2" s="38" t="str">
        <x:v>概念入門／官方優先</x:v>
      </x:c>
      <x:c r="H2" s="38" t="str">
        <x:v>開學任務 把 MacBook 變成我的工作站 Mac digital literacy internet safety beginner tutorial Apple</x:v>
      </x:c>
      <x:c r="I2" s="38" t="str">
        <x:v>https://www.youtube.com/results?search_query=%E9%96%8B%E5%AD%B8%E4%BB%BB%E5%8B%99+%E6%8A%8A+MacBook+%E8%AE%8A%E6%88%90%E6%88%91%E7%9A%84%E5%B7%A5%E4%BD%9C%E7%AB%99+Mac+digital+literacy+internet+safety+beginner+tutorial+Apple</x:v>
      </x:c>
      <x:c r="J2" s="38" t="str">
        <x:v>課前暖身</x:v>
      </x:c>
      <x:c r="K2" s="38" t="str">
        <x:v>5–12 分鐘</x:v>
      </x:c>
      <x:c r="L2" s="38" t="str">
        <x:v>先建立直覺；看完能說出 3 個關鍵詞</x:v>
      </x:c>
      <x:c r="M2" s="38" t="str">
        <x:v>□ 未挑選</x:v>
      </x:c>
      <x:c r="N2" s="38" t="str"/>
      <x:c r="O2" s="38" t="str"/>
    </x:row>
    <x:row r="3">
      <x:c r="A3" s="38" t="n">
        <x:v>1</x:v>
      </x:c>
      <x:c r="B3" s="38" t="str">
        <x:v>第 1 年</x:v>
      </x:c>
      <x:c r="C3" s="38" t="str">
        <x:v>M01 數位探險家：Mac、網路、AI 與安全</x:v>
      </x:c>
      <x:c r="D3" s="38" t="n">
        <x:v>1</x:v>
      </x:c>
      <x:c r="E3" s="38" t="str">
        <x:v>開學任務：把 MacBook 變成我的工作站</x:v>
      </x:c>
      <x:c r="F3" s="38" t="n">
        <x:v>2</x:v>
      </x:c>
      <x:c r="G3" s="38" t="str">
        <x:v>跟做實作／專案導向</x:v>
      </x:c>
      <x:c r="H3" s="38" t="str">
        <x:v>開學任務 把 MacBook 變成我的工作站 建立自己的帳號、桌面、Dock、輸入法與課程資料夾規則 hands on project for kids Mac digital literacy internet</x:v>
      </x:c>
      <x:c r="I3" s="38" t="str">
        <x:v>https://www.youtube.com/results?search_query=%E9%96%8B%E5%AD%B8%E4%BB%BB%E5%8B%99+%E6%8A%8A+MacBook+%E8%AE%8A%E6%88%90%E6%88%91%E7%9A%84%E5%B7%A5%E4%BD%9C%E7%AB%99+%E5%BB%BA%E7%AB%8B%E8%87%AA%E5%B7%B1%E7%9A%84%E5%B8%B3%E8%99%9F%E3%80%81%E6%A1%8C%E9%9D%A2%E3%80%81Dock%E3%80%81%E8%BC%B8%E5%85%A5%E6%B3%95%E8%88%87%E8%AA%B2%E7%A8%8B%E8%B3%87%E6%96%99%E5%A4%BE%E8%A6%8F%E5%89%87+hands+on+project+for+kids+Mac+digital+literacy+internet+safety</x:v>
      </x:c>
      <x:c r="J3" s="38" t="str">
        <x:v>課中實作參考</x:v>
      </x:c>
      <x:c r="K3" s="38" t="str">
        <x:v>8–20 分鐘</x:v>
      </x:c>
      <x:c r="L3" s="38" t="str">
        <x:v>優先找有畫面操作、步驟清楚、可暫停跟做的版本</x:v>
      </x:c>
      <x:c r="M3" s="38" t="str">
        <x:v>□ 未挑選</x:v>
      </x:c>
      <x:c r="N3" s="38" t="str"/>
      <x:c r="O3" s="38" t="str"/>
    </x:row>
    <x:row r="4">
      <x:c r="A4" s="38" t="n">
        <x:v>1</x:v>
      </x:c>
      <x:c r="B4" s="38" t="str">
        <x:v>第 1 年</x:v>
      </x:c>
      <x:c r="C4" s="38" t="str">
        <x:v>M01 數位探險家：Mac、網路、AI 與安全</x:v>
      </x:c>
      <x:c r="D4" s="38" t="n">
        <x:v>1</x:v>
      </x:c>
      <x:c r="E4" s="38" t="str">
        <x:v>開學任務：把 MacBook 變成我的工作站</x:v>
      </x:c>
      <x:c r="F4" s="38" t="n">
        <x:v>3</x:v>
      </x:c>
      <x:c r="G4" s="38" t="str">
        <x:v>中文延伸／倫理安全</x:v>
      </x:c>
      <x:c r="H4" s="38" t="str">
        <x:v>開學任務 把 MacBook 變成我的工作站 中文 教學 原理 安全 親子 Mac digital literacy internet safety</x:v>
      </x:c>
      <x:c r="I4" s="38" t="str">
        <x:v>https://www.youtube.com/results?search_query=%E9%96%8B%E5%AD%B8%E4%BB%BB%E5%8B%99+%E6%8A%8A+MacBook+%E8%AE%8A%E6%88%90%E6%88%91%E7%9A%84%E5%B7%A5%E4%BD%9C%E7%AB%99+%E4%B8%AD%E6%96%87+%E6%95%99%E5%AD%B8+%E5%8E%9F%E7%90%86+%E5%AE%89%E5%85%A8+%E8%A6%AA%E5%AD%90+Mac+digital+literacy+internet+safety</x:v>
      </x:c>
      <x:c r="J4" s="38" t="str">
        <x:v>課後延伸／親子討論</x:v>
      </x:c>
      <x:c r="K4" s="38" t="str">
        <x:v>6–15 分鐘</x:v>
      </x:c>
      <x:c r="L4" s="38" t="str">
        <x:v>補充應用、倫理、安全或真實案例；父子各說一個觀點</x:v>
      </x:c>
      <x:c r="M4" s="38" t="str">
        <x:v>□ 未挑選</x:v>
      </x:c>
      <x:c r="N4" s="38" t="str"/>
      <x:c r="O4" s="38" t="str"/>
    </x:row>
    <x:row r="5">
      <x:c r="A5" s="38" t="n">
        <x:v>2</x:v>
      </x:c>
      <x:c r="B5" s="38" t="str">
        <x:v>第 1 年</x:v>
      </x:c>
      <x:c r="C5" s="38" t="str">
        <x:v>M01 數位探險家：Mac、網路、AI 與安全</x:v>
      </x:c>
      <x:c r="D5" s="38" t="n">
        <x:v>2</x:v>
      </x:c>
      <x:c r="E5" s="38" t="str">
        <x:v>檔案與資料夾尋寶</x:v>
      </x:c>
      <x:c r="F5" s="38" t="n">
        <x:v>1</x:v>
      </x:c>
      <x:c r="G5" s="38" t="str">
        <x:v>概念入門／官方優先</x:v>
      </x:c>
      <x:c r="H5" s="38" t="str">
        <x:v>檔案與資料夾尋寶 Mac digital literacy internet safety beginner tutorial Apple</x:v>
      </x:c>
      <x:c r="I5" s="38" t="str">
        <x:v>https://www.youtube.com/results?search_query=%E6%AA%94%E6%A1%88%E8%88%87%E8%B3%87%E6%96%99%E5%A4%BE%E5%B0%8B%E5%AF%B6+Mac+digital+literacy+internet+safety+beginner+tutorial+Apple</x:v>
      </x:c>
      <x:c r="J5" s="38" t="str">
        <x:v>課前暖身</x:v>
      </x:c>
      <x:c r="K5" s="38" t="str">
        <x:v>5–12 分鐘</x:v>
      </x:c>
      <x:c r="L5" s="38" t="str">
        <x:v>先建立直覺；看完能說出 3 個關鍵詞</x:v>
      </x:c>
      <x:c r="M5" s="38" t="str">
        <x:v>□ 未挑選</x:v>
      </x:c>
      <x:c r="N5" s="38" t="str"/>
      <x:c r="O5" s="38" t="str"/>
    </x:row>
    <x:row r="6">
      <x:c r="A6" s="38" t="n">
        <x:v>2</x:v>
      </x:c>
      <x:c r="B6" s="38" t="str">
        <x:v>第 1 年</x:v>
      </x:c>
      <x:c r="C6" s="38" t="str">
        <x:v>M01 數位探險家：Mac、網路、AI 與安全</x:v>
      </x:c>
      <x:c r="D6" s="38" t="n">
        <x:v>2</x:v>
      </x:c>
      <x:c r="E6" s="38" t="str">
        <x:v>檔案與資料夾尋寶</x:v>
      </x:c>
      <x:c r="F6" s="38" t="n">
        <x:v>2</x:v>
      </x:c>
      <x:c r="G6" s="38" t="str">
        <x:v>跟做實作／專案導向</x:v>
      </x:c>
      <x:c r="H6" s="38" t="str">
        <x:v>檔案與資料夾尋寶 理解檔名、副檔名、路徑、搜尋、複製、移動與備份 hands on project for kids Mac digital literacy internet safety</x:v>
      </x:c>
      <x:c r="I6" s="38" t="str">
        <x:v>https://www.youtube.com/results?search_query=%E6%AA%94%E6%A1%88%E8%88%87%E8%B3%87%E6%96%99%E5%A4%BE%E5%B0%8B%E5%AF%B6+%E7%90%86%E8%A7%A3%E6%AA%94%E5%90%8D%E3%80%81%E5%89%AF%E6%AA%94%E5%90%8D%E3%80%81%E8%B7%AF%E5%BE%91%E3%80%81%E6%90%9C%E5%B0%8B%E3%80%81%E8%A4%87%E8%A3%BD%E3%80%81%E7%A7%BB%E5%8B%95%E8%88%87%E5%82%99%E4%BB%BD+hands+on+project+for+kids+Mac+digital+literacy+internet+safety</x:v>
      </x:c>
      <x:c r="J6" s="38" t="str">
        <x:v>課中實作參考</x:v>
      </x:c>
      <x:c r="K6" s="38" t="str">
        <x:v>8–20 分鐘</x:v>
      </x:c>
      <x:c r="L6" s="38" t="str">
        <x:v>優先找有畫面操作、步驟清楚、可暫停跟做的版本</x:v>
      </x:c>
      <x:c r="M6" s="38" t="str">
        <x:v>□ 未挑選</x:v>
      </x:c>
      <x:c r="N6" s="38" t="str"/>
      <x:c r="O6" s="38" t="str"/>
    </x:row>
    <x:row r="7">
      <x:c r="A7" s="38" t="n">
        <x:v>2</x:v>
      </x:c>
      <x:c r="B7" s="38" t="str">
        <x:v>第 1 年</x:v>
      </x:c>
      <x:c r="C7" s="38" t="str">
        <x:v>M01 數位探險家：Mac、網路、AI 與安全</x:v>
      </x:c>
      <x:c r="D7" s="38" t="n">
        <x:v>2</x:v>
      </x:c>
      <x:c r="E7" s="38" t="str">
        <x:v>檔案與資料夾尋寶</x:v>
      </x:c>
      <x:c r="F7" s="38" t="n">
        <x:v>3</x:v>
      </x:c>
      <x:c r="G7" s="38" t="str">
        <x:v>中文延伸／倫理安全</x:v>
      </x:c>
      <x:c r="H7" s="38" t="str">
        <x:v>檔案與資料夾尋寶 中文 教學 原理 安全 親子 Mac digital literacy internet safety</x:v>
      </x:c>
      <x:c r="I7" s="38" t="str">
        <x:v>https://www.youtube.com/results?search_query=%E6%AA%94%E6%A1%88%E8%88%87%E8%B3%87%E6%96%99%E5%A4%BE%E5%B0%8B%E5%AF%B6+%E4%B8%AD%E6%96%87+%E6%95%99%E5%AD%B8+%E5%8E%9F%E7%90%86+%E5%AE%89%E5%85%A8+%E8%A6%AA%E5%AD%90+Mac+digital+literacy+internet+safety</x:v>
      </x:c>
      <x:c r="J7" s="38" t="str">
        <x:v>課後延伸／親子討論</x:v>
      </x:c>
      <x:c r="K7" s="38" t="str">
        <x:v>6–15 分鐘</x:v>
      </x:c>
      <x:c r="L7" s="38" t="str">
        <x:v>補充應用、倫理、安全或真實案例；父子各說一個觀點</x:v>
      </x:c>
      <x:c r="M7" s="38" t="str">
        <x:v>□ 未挑選</x:v>
      </x:c>
      <x:c r="N7" s="38" t="str"/>
      <x:c r="O7" s="38" t="str"/>
    </x:row>
    <x:row r="8">
      <x:c r="A8" s="38" t="n">
        <x:v>3</x:v>
      </x:c>
      <x:c r="B8" s="38" t="str">
        <x:v>第 1 年</x:v>
      </x:c>
      <x:c r="C8" s="38" t="str">
        <x:v>M01 數位探險家：Mac、網路、AI 與安全</x:v>
      </x:c>
      <x:c r="D8" s="38" t="n">
        <x:v>3</x:v>
      </x:c>
      <x:c r="E8" s="38" t="str">
        <x:v>鍵盤忍者：快捷鍵競速</x:v>
      </x:c>
      <x:c r="F8" s="38" t="n">
        <x:v>1</x:v>
      </x:c>
      <x:c r="G8" s="38" t="str">
        <x:v>概念入門／官方優先</x:v>
      </x:c>
      <x:c r="H8" s="38" t="str">
        <x:v>鍵盤忍者 快捷鍵競速 Mac digital literacy internet safety beginner tutorial Apple</x:v>
      </x:c>
      <x:c r="I8" s="38" t="str">
        <x:v>https://www.youtube.com/results?search_query=%E9%8D%B5%E7%9B%A4%E5%BF%8D%E8%80%85+%E5%BF%AB%E6%8D%B7%E9%8D%B5%E7%AB%B6%E9%80%9F+Mac+digital+literacy+internet+safety+beginner+tutorial+Apple</x:v>
      </x:c>
      <x:c r="J8" s="38" t="str">
        <x:v>課前暖身</x:v>
      </x:c>
      <x:c r="K8" s="38" t="str">
        <x:v>5–12 分鐘</x:v>
      </x:c>
      <x:c r="L8" s="38" t="str">
        <x:v>先建立直覺；看完能說出 3 個關鍵詞</x:v>
      </x:c>
      <x:c r="M8" s="38" t="str">
        <x:v>□ 未挑選</x:v>
      </x:c>
      <x:c r="N8" s="38" t="str"/>
      <x:c r="O8" s="38" t="str"/>
    </x:row>
    <x:row r="9">
      <x:c r="A9" s="38" t="n">
        <x:v>3</x:v>
      </x:c>
      <x:c r="B9" s="38" t="str">
        <x:v>第 1 年</x:v>
      </x:c>
      <x:c r="C9" s="38" t="str">
        <x:v>M01 數位探險家：Mac、網路、AI 與安全</x:v>
      </x:c>
      <x:c r="D9" s="38" t="n">
        <x:v>3</x:v>
      </x:c>
      <x:c r="E9" s="38" t="str">
        <x:v>鍵盤忍者：快捷鍵競速</x:v>
      </x:c>
      <x:c r="F9" s="38" t="n">
        <x:v>2</x:v>
      </x:c>
      <x:c r="G9" s="38" t="str">
        <x:v>跟做實作／專案導向</x:v>
      </x:c>
      <x:c r="H9" s="38" t="str">
        <x:v>鍵盤忍者 快捷鍵競速 熟悉複製貼上、切換 App、截圖、Spotlight 與復原 hands on project for kids Mac digital literacy internet</x:v>
      </x:c>
      <x:c r="I9" s="38" t="str">
        <x:v>https://www.youtube.com/results?search_query=%E9%8D%B5%E7%9B%A4%E5%BF%8D%E8%80%85+%E5%BF%AB%E6%8D%B7%E9%8D%B5%E7%AB%B6%E9%80%9F+%E7%86%9F%E6%82%89%E8%A4%87%E8%A3%BD%E8%B2%BC%E4%B8%8A%E3%80%81%E5%88%87%E6%8F%9B+App%E3%80%81%E6%88%AA%E5%9C%96%E3%80%81Spotlight+%E8%88%87%E5%BE%A9%E5%8E%9F+hands+on+project+for+kids+Mac+digital+literacy+internet+safety</x:v>
      </x:c>
      <x:c r="J9" s="38" t="str">
        <x:v>課中實作參考</x:v>
      </x:c>
      <x:c r="K9" s="38" t="str">
        <x:v>8–20 分鐘</x:v>
      </x:c>
      <x:c r="L9" s="38" t="str">
        <x:v>優先找有畫面操作、步驟清楚、可暫停跟做的版本</x:v>
      </x:c>
      <x:c r="M9" s="38" t="str">
        <x:v>□ 未挑選</x:v>
      </x:c>
      <x:c r="N9" s="38" t="str"/>
      <x:c r="O9" s="38" t="str"/>
    </x:row>
    <x:row r="10">
      <x:c r="A10" s="38" t="n">
        <x:v>3</x:v>
      </x:c>
      <x:c r="B10" s="38" t="str">
        <x:v>第 1 年</x:v>
      </x:c>
      <x:c r="C10" s="38" t="str">
        <x:v>M01 數位探險家：Mac、網路、AI 與安全</x:v>
      </x:c>
      <x:c r="D10" s="38" t="n">
        <x:v>3</x:v>
      </x:c>
      <x:c r="E10" s="38" t="str">
        <x:v>鍵盤忍者：快捷鍵競速</x:v>
      </x:c>
      <x:c r="F10" s="38" t="n">
        <x:v>3</x:v>
      </x:c>
      <x:c r="G10" s="38" t="str">
        <x:v>中文延伸／倫理安全</x:v>
      </x:c>
      <x:c r="H10" s="38" t="str">
        <x:v>鍵盤忍者 快捷鍵競速 中文 教學 原理 安全 親子 Mac digital literacy internet safety</x:v>
      </x:c>
      <x:c r="I10" s="38" t="str">
        <x:v>https://www.youtube.com/results?search_query=%E9%8D%B5%E7%9B%A4%E5%BF%8D%E8%80%85+%E5%BF%AB%E6%8D%B7%E9%8D%B5%E7%AB%B6%E9%80%9F+%E4%B8%AD%E6%96%87+%E6%95%99%E5%AD%B8+%E5%8E%9F%E7%90%86+%E5%AE%89%E5%85%A8+%E8%A6%AA%E5%AD%90+Mac+digital+literacy+internet+safety</x:v>
      </x:c>
      <x:c r="J10" s="38" t="str">
        <x:v>課後延伸／親子討論</x:v>
      </x:c>
      <x:c r="K10" s="38" t="str">
        <x:v>6–15 分鐘</x:v>
      </x:c>
      <x:c r="L10" s="38" t="str">
        <x:v>補充應用、倫理、安全或真實案例；父子各說一個觀點</x:v>
      </x:c>
      <x:c r="M10" s="38" t="str">
        <x:v>□ 未挑選</x:v>
      </x:c>
      <x:c r="N10" s="38" t="str"/>
      <x:c r="O10" s="38" t="str"/>
    </x:row>
    <x:row r="11">
      <x:c r="A11" s="38" t="n">
        <x:v>4</x:v>
      </x:c>
      <x:c r="B11" s="38" t="str">
        <x:v>第 1 年</x:v>
      </x:c>
      <x:c r="C11" s="38" t="str">
        <x:v>M01 數位探險家：Mac、網路、AI 與安全</x:v>
      </x:c>
      <x:c r="D11" s="38" t="n">
        <x:v>4</x:v>
      </x:c>
      <x:c r="E11" s="38" t="str">
        <x:v>網路到底是什麼：封包接力賽</x:v>
      </x:c>
      <x:c r="F11" s="38" t="n">
        <x:v>1</x:v>
      </x:c>
      <x:c r="G11" s="38" t="str">
        <x:v>概念入門／官方優先</x:v>
      </x:c>
      <x:c r="H11" s="38" t="str">
        <x:v>網路到底是什麼 封包接力賽 Mac digital literacy internet safety beginner tutorial Apple</x:v>
      </x:c>
      <x:c r="I11" s="38" t="str">
        <x:v>https://www.youtube.com/results?search_query=%E7%B6%B2%E8%B7%AF%E5%88%B0%E5%BA%95%E6%98%AF%E4%BB%80%E9%BA%BC+%E5%B0%81%E5%8C%85%E6%8E%A5%E5%8A%9B%E8%B3%BD+Mac+digital+literacy+internet+safety+beginner+tutorial+Apple</x:v>
      </x:c>
      <x:c r="J11" s="38" t="str">
        <x:v>課前暖身</x:v>
      </x:c>
      <x:c r="K11" s="38" t="str">
        <x:v>5–12 分鐘</x:v>
      </x:c>
      <x:c r="L11" s="38" t="str">
        <x:v>先建立直覺；看完能說出 3 個關鍵詞</x:v>
      </x:c>
      <x:c r="M11" s="38" t="str">
        <x:v>□ 未挑選</x:v>
      </x:c>
      <x:c r="N11" s="38" t="str"/>
      <x:c r="O11" s="38" t="str"/>
    </x:row>
    <x:row r="12">
      <x:c r="A12" s="38" t="n">
        <x:v>4</x:v>
      </x:c>
      <x:c r="B12" s="38" t="str">
        <x:v>第 1 年</x:v>
      </x:c>
      <x:c r="C12" s="38" t="str">
        <x:v>M01 數位探險家：Mac、網路、AI 與安全</x:v>
      </x:c>
      <x:c r="D12" s="38" t="n">
        <x:v>4</x:v>
      </x:c>
      <x:c r="E12" s="38" t="str">
        <x:v>網路到底是什麼：封包接力賽</x:v>
      </x:c>
      <x:c r="F12" s="38" t="n">
        <x:v>2</x:v>
      </x:c>
      <x:c r="G12" s="38" t="str">
        <x:v>跟做實作／專案導向</x:v>
      </x:c>
      <x:c r="H12" s="38" t="str">
        <x:v>網路到底是什麼 封包接力賽 用生活比喻理解裝置、路由器、IP、DNS、伺服器與封包 hands on project for kids Mac digital literacy internet safety</x:v>
      </x:c>
      <x:c r="I12" s="38" t="str">
        <x:v>https://www.youtube.com/results?search_query=%E7%B6%B2%E8%B7%AF%E5%88%B0%E5%BA%95%E6%98%AF%E4%BB%80%E9%BA%BC+%E5%B0%81%E5%8C%85%E6%8E%A5%E5%8A%9B%E8%B3%BD+%E7%94%A8%E7%94%9F%E6%B4%BB%E6%AF%94%E5%96%BB%E7%90%86%E8%A7%A3%E8%A3%9D%E7%BD%AE%E3%80%81%E8%B7%AF%E7%94%B1%E5%99%A8%E3%80%81IP%E3%80%81DNS%E3%80%81%E4%BC%BA%E6%9C%8D%E5%99%A8%E8%88%87%E5%B0%81%E5%8C%85+hands+on+project+for+kids+Mac+digital+literacy+internet+safety</x:v>
      </x:c>
      <x:c r="J12" s="38" t="str">
        <x:v>課中實作參考</x:v>
      </x:c>
      <x:c r="K12" s="38" t="str">
        <x:v>8–20 分鐘</x:v>
      </x:c>
      <x:c r="L12" s="38" t="str">
        <x:v>優先找有畫面操作、步驟清楚、可暫停跟做的版本</x:v>
      </x:c>
      <x:c r="M12" s="38" t="str">
        <x:v>□ 未挑選</x:v>
      </x:c>
      <x:c r="N12" s="38" t="str"/>
      <x:c r="O12" s="38" t="str"/>
    </x:row>
    <x:row r="13">
      <x:c r="A13" s="38" t="n">
        <x:v>4</x:v>
      </x:c>
      <x:c r="B13" s="38" t="str">
        <x:v>第 1 年</x:v>
      </x:c>
      <x:c r="C13" s="38" t="str">
        <x:v>M01 數位探險家：Mac、網路、AI 與安全</x:v>
      </x:c>
      <x:c r="D13" s="38" t="n">
        <x:v>4</x:v>
      </x:c>
      <x:c r="E13" s="38" t="str">
        <x:v>網路到底是什麼：封包接力賽</x:v>
      </x:c>
      <x:c r="F13" s="38" t="n">
        <x:v>3</x:v>
      </x:c>
      <x:c r="G13" s="38" t="str">
        <x:v>中文延伸／倫理安全</x:v>
      </x:c>
      <x:c r="H13" s="38" t="str">
        <x:v>網路到底是什麼 封包接力賽 中文 教學 原理 安全 親子 Mac digital literacy internet safety</x:v>
      </x:c>
      <x:c r="I13" s="38" t="str">
        <x:v>https://www.youtube.com/results?search_query=%E7%B6%B2%E8%B7%AF%E5%88%B0%E5%BA%95%E6%98%AF%E4%BB%80%E9%BA%BC+%E5%B0%81%E5%8C%85%E6%8E%A5%E5%8A%9B%E8%B3%BD+%E4%B8%AD%E6%96%87+%E6%95%99%E5%AD%B8+%E5%8E%9F%E7%90%86+%E5%AE%89%E5%85%A8+%E8%A6%AA%E5%AD%90+Mac+digital+literacy+internet+safety</x:v>
      </x:c>
      <x:c r="J13" s="38" t="str">
        <x:v>課後延伸／親子討論</x:v>
      </x:c>
      <x:c r="K13" s="38" t="str">
        <x:v>6–15 分鐘</x:v>
      </x:c>
      <x:c r="L13" s="38" t="str">
        <x:v>補充應用、倫理、安全或真實案例；父子各說一個觀點</x:v>
      </x:c>
      <x:c r="M13" s="38" t="str">
        <x:v>□ 未挑選</x:v>
      </x:c>
      <x:c r="N13" s="38" t="str"/>
      <x:c r="O13" s="38" t="str"/>
    </x:row>
    <x:row r="14">
      <x:c r="A14" s="38" t="n">
        <x:v>5</x:v>
      </x:c>
      <x:c r="B14" s="38" t="str">
        <x:v>第 1 年</x:v>
      </x:c>
      <x:c r="C14" s="38" t="str">
        <x:v>M01 數位探險家：Mac、網路、AI 與安全</x:v>
      </x:c>
      <x:c r="D14" s="38" t="n">
        <x:v>5</x:v>
      </x:c>
      <x:c r="E14" s="38" t="str">
        <x:v>搜尋高手：把大問題拆成好問題</x:v>
      </x:c>
      <x:c r="F14" s="38" t="n">
        <x:v>1</x:v>
      </x:c>
      <x:c r="G14" s="38" t="str">
        <x:v>概念入門／官方優先</x:v>
      </x:c>
      <x:c r="H14" s="38" t="str">
        <x:v>搜尋高手 把大問題拆成好問題 Mac digital literacy internet safety beginner tutorial Apple</x:v>
      </x:c>
      <x:c r="I14" s="38" t="str">
        <x:v>https://www.youtube.com/results?search_query=%E6%90%9C%E5%B0%8B%E9%AB%98%E6%89%8B+%E6%8A%8A%E5%A4%A7%E5%95%8F%E9%A1%8C%E6%8B%86%E6%88%90%E5%A5%BD%E5%95%8F%E9%A1%8C+Mac+digital+literacy+internet+safety+beginner+tutorial+Apple</x:v>
      </x:c>
      <x:c r="J14" s="38" t="str">
        <x:v>課前暖身</x:v>
      </x:c>
      <x:c r="K14" s="38" t="str">
        <x:v>5–12 分鐘</x:v>
      </x:c>
      <x:c r="L14" s="38" t="str">
        <x:v>先建立直覺；看完能說出 3 個關鍵詞</x:v>
      </x:c>
      <x:c r="M14" s="38" t="str">
        <x:v>□ 未挑選</x:v>
      </x:c>
      <x:c r="N14" s="38" t="str"/>
      <x:c r="O14" s="38" t="str"/>
    </x:row>
    <x:row r="15">
      <x:c r="A15" s="38" t="n">
        <x:v>5</x:v>
      </x:c>
      <x:c r="B15" s="38" t="str">
        <x:v>第 1 年</x:v>
      </x:c>
      <x:c r="C15" s="38" t="str">
        <x:v>M01 數位探險家：Mac、網路、AI 與安全</x:v>
      </x:c>
      <x:c r="D15" s="38" t="n">
        <x:v>5</x:v>
      </x:c>
      <x:c r="E15" s="38" t="str">
        <x:v>搜尋高手：把大問題拆成好問題</x:v>
      </x:c>
      <x:c r="F15" s="38" t="n">
        <x:v>2</x:v>
      </x:c>
      <x:c r="G15" s="38" t="str">
        <x:v>跟做實作／專案導向</x:v>
      </x:c>
      <x:c r="H15" s="38" t="str">
        <x:v>搜尋高手 把大問題拆成好問題 學會關鍵字、引號、排除詞、時間條件與問題拆解 hands on project for kids Mac digital literacy internet safety</x:v>
      </x:c>
      <x:c r="I15" s="38" t="str">
        <x:v>https://www.youtube.com/results?search_query=%E6%90%9C%E5%B0%8B%E9%AB%98%E6%89%8B+%E6%8A%8A%E5%A4%A7%E5%95%8F%E9%A1%8C%E6%8B%86%E6%88%90%E5%A5%BD%E5%95%8F%E9%A1%8C+%E5%AD%B8%E6%9C%83%E9%97%9C%E9%8D%B5%E5%AD%97%E3%80%81%E5%BC%95%E8%99%9F%E3%80%81%E6%8E%92%E9%99%A4%E8%A9%9E%E3%80%81%E6%99%82%E9%96%93%E6%A2%9D%E4%BB%B6%E8%88%87%E5%95%8F%E9%A1%8C%E6%8B%86%E8%A7%A3+hands+on+project+for+kids+Mac+digital+literacy+internet+safety</x:v>
      </x:c>
      <x:c r="J15" s="38" t="str">
        <x:v>課中實作參考</x:v>
      </x:c>
      <x:c r="K15" s="38" t="str">
        <x:v>8–20 分鐘</x:v>
      </x:c>
      <x:c r="L15" s="38" t="str">
        <x:v>優先找有畫面操作、步驟清楚、可暫停跟做的版本</x:v>
      </x:c>
      <x:c r="M15" s="38" t="str">
        <x:v>□ 未挑選</x:v>
      </x:c>
      <x:c r="N15" s="38" t="str"/>
      <x:c r="O15" s="38" t="str"/>
    </x:row>
    <x:row r="16">
      <x:c r="A16" s="38" t="n">
        <x:v>5</x:v>
      </x:c>
      <x:c r="B16" s="38" t="str">
        <x:v>第 1 年</x:v>
      </x:c>
      <x:c r="C16" s="38" t="str">
        <x:v>M01 數位探險家：Mac、網路、AI 與安全</x:v>
      </x:c>
      <x:c r="D16" s="38" t="n">
        <x:v>5</x:v>
      </x:c>
      <x:c r="E16" s="38" t="str">
        <x:v>搜尋高手：把大問題拆成好問題</x:v>
      </x:c>
      <x:c r="F16" s="38" t="n">
        <x:v>3</x:v>
      </x:c>
      <x:c r="G16" s="38" t="str">
        <x:v>中文延伸／倫理安全</x:v>
      </x:c>
      <x:c r="H16" s="38" t="str">
        <x:v>搜尋高手 把大問題拆成好問題 中文 教學 原理 安全 親子 Mac digital literacy internet safety</x:v>
      </x:c>
      <x:c r="I16" s="38" t="str">
        <x:v>https://www.youtube.com/results?search_query=%E6%90%9C%E5%B0%8B%E9%AB%98%E6%89%8B+%E6%8A%8A%E5%A4%A7%E5%95%8F%E9%A1%8C%E6%8B%86%E6%88%90%E5%A5%BD%E5%95%8F%E9%A1%8C+%E4%B8%AD%E6%96%87+%E6%95%99%E5%AD%B8+%E5%8E%9F%E7%90%86+%E5%AE%89%E5%85%A8+%E8%A6%AA%E5%AD%90+Mac+digital+literacy+internet+safety</x:v>
      </x:c>
      <x:c r="J16" s="38" t="str">
        <x:v>課後延伸／親子討論</x:v>
      </x:c>
      <x:c r="K16" s="38" t="str">
        <x:v>6–15 分鐘</x:v>
      </x:c>
      <x:c r="L16" s="38" t="str">
        <x:v>補充應用、倫理、安全或真實案例；父子各說一個觀點</x:v>
      </x:c>
      <x:c r="M16" s="38" t="str">
        <x:v>□ 未挑選</x:v>
      </x:c>
      <x:c r="N16" s="38" t="str"/>
      <x:c r="O16" s="38" t="str"/>
    </x:row>
    <x:row r="17">
      <x:c r="A17" s="38" t="n">
        <x:v>6</x:v>
      </x:c>
      <x:c r="B17" s="38" t="str">
        <x:v>第 1 年</x:v>
      </x:c>
      <x:c r="C17" s="38" t="str">
        <x:v>M01 數位探險家：Mac、網路、AI 與安全</x:v>
      </x:c>
      <x:c r="D17" s="38" t="n">
        <x:v>6</x:v>
      </x:c>
      <x:c r="E17" s="38" t="str">
        <x:v>真真假假：來源與證據偵探</x:v>
      </x:c>
      <x:c r="F17" s="38" t="n">
        <x:v>1</x:v>
      </x:c>
      <x:c r="G17" s="38" t="str">
        <x:v>概念入門／官方優先</x:v>
      </x:c>
      <x:c r="H17" s="38" t="str">
        <x:v>真真假假 來源與證據偵探 Mac digital literacy internet safety beginner tutorial Apple</x:v>
      </x:c>
      <x:c r="I17" s="38" t="str">
        <x:v>https://www.youtube.com/results?search_query=%E7%9C%9F%E7%9C%9F%E5%81%87%E5%81%87+%E4%BE%86%E6%BA%90%E8%88%87%E8%AD%89%E6%93%9A%E5%81%B5%E6%8E%A2+Mac+digital+literacy+internet+safety+beginner+tutorial+Apple</x:v>
      </x:c>
      <x:c r="J17" s="38" t="str">
        <x:v>課前暖身</x:v>
      </x:c>
      <x:c r="K17" s="38" t="str">
        <x:v>5–12 分鐘</x:v>
      </x:c>
      <x:c r="L17" s="38" t="str">
        <x:v>先建立直覺；看完能說出 3 個關鍵詞</x:v>
      </x:c>
      <x:c r="M17" s="38" t="str">
        <x:v>□ 未挑選</x:v>
      </x:c>
      <x:c r="N17" s="38" t="str"/>
      <x:c r="O17" s="38" t="str"/>
    </x:row>
    <x:row r="18">
      <x:c r="A18" s="38" t="n">
        <x:v>6</x:v>
      </x:c>
      <x:c r="B18" s="38" t="str">
        <x:v>第 1 年</x:v>
      </x:c>
      <x:c r="C18" s="38" t="str">
        <x:v>M01 數位探險家：Mac、網路、AI 與安全</x:v>
      </x:c>
      <x:c r="D18" s="38" t="n">
        <x:v>6</x:v>
      </x:c>
      <x:c r="E18" s="38" t="str">
        <x:v>真真假假：來源與證據偵探</x:v>
      </x:c>
      <x:c r="F18" s="38" t="n">
        <x:v>2</x:v>
      </x:c>
      <x:c r="G18" s="38" t="str">
        <x:v>跟做實作／專案導向</x:v>
      </x:c>
      <x:c r="H18" s="38" t="str">
        <x:v>真真假假 來源與證據偵探 分辨原始來源、二手來源、廣告、意見與可驗證證據 hands on project for kids Mac digital literacy internet safety</x:v>
      </x:c>
      <x:c r="I18" s="38" t="str">
        <x:v>https://www.youtube.com/results?search_query=%E7%9C%9F%E7%9C%9F%E5%81%87%E5%81%87+%E4%BE%86%E6%BA%90%E8%88%87%E8%AD%89%E6%93%9A%E5%81%B5%E6%8E%A2+%E5%88%86%E8%BE%A8%E5%8E%9F%E5%A7%8B%E4%BE%86%E6%BA%90%E3%80%81%E4%BA%8C%E6%89%8B%E4%BE%86%E6%BA%90%E3%80%81%E5%BB%A3%E5%91%8A%E3%80%81%E6%84%8F%E8%A6%8B%E8%88%87%E5%8F%AF%E9%A9%97%E8%AD%89%E8%AD%89%E6%93%9A+hands+on+project+for+kids+Mac+digital+literacy+internet+safety</x:v>
      </x:c>
      <x:c r="J18" s="38" t="str">
        <x:v>課中實作參考</x:v>
      </x:c>
      <x:c r="K18" s="38" t="str">
        <x:v>8–20 分鐘</x:v>
      </x:c>
      <x:c r="L18" s="38" t="str">
        <x:v>優先找有畫面操作、步驟清楚、可暫停跟做的版本</x:v>
      </x:c>
      <x:c r="M18" s="38" t="str">
        <x:v>□ 未挑選</x:v>
      </x:c>
      <x:c r="N18" s="38" t="str"/>
      <x:c r="O18" s="38" t="str"/>
    </x:row>
    <x:row r="19">
      <x:c r="A19" s="38" t="n">
        <x:v>6</x:v>
      </x:c>
      <x:c r="B19" s="38" t="str">
        <x:v>第 1 年</x:v>
      </x:c>
      <x:c r="C19" s="38" t="str">
        <x:v>M01 數位探險家：Mac、網路、AI 與安全</x:v>
      </x:c>
      <x:c r="D19" s="38" t="n">
        <x:v>6</x:v>
      </x:c>
      <x:c r="E19" s="38" t="str">
        <x:v>真真假假：來源與證據偵探</x:v>
      </x:c>
      <x:c r="F19" s="38" t="n">
        <x:v>3</x:v>
      </x:c>
      <x:c r="G19" s="38" t="str">
        <x:v>中文延伸／倫理安全</x:v>
      </x:c>
      <x:c r="H19" s="38" t="str">
        <x:v>真真假假 來源與證據偵探 中文 教學 原理 安全 親子 Mac digital literacy internet safety</x:v>
      </x:c>
      <x:c r="I19" s="38" t="str">
        <x:v>https://www.youtube.com/results?search_query=%E7%9C%9F%E7%9C%9F%E5%81%87%E5%81%87+%E4%BE%86%E6%BA%90%E8%88%87%E8%AD%89%E6%93%9A%E5%81%B5%E6%8E%A2+%E4%B8%AD%E6%96%87+%E6%95%99%E5%AD%B8+%E5%8E%9F%E7%90%86+%E5%AE%89%E5%85%A8+%E8%A6%AA%E5%AD%90+Mac+digital+literacy+internet+safety</x:v>
      </x:c>
      <x:c r="J19" s="38" t="str">
        <x:v>課後延伸／親子討論</x:v>
      </x:c>
      <x:c r="K19" s="38" t="str">
        <x:v>6–15 分鐘</x:v>
      </x:c>
      <x:c r="L19" s="38" t="str">
        <x:v>補充應用、倫理、安全或真實案例；父子各說一個觀點</x:v>
      </x:c>
      <x:c r="M19" s="38" t="str">
        <x:v>□ 未挑選</x:v>
      </x:c>
      <x:c r="N19" s="38" t="str"/>
      <x:c r="O19" s="38" t="str"/>
    </x:row>
    <x:row r="20">
      <x:c r="A20" s="38" t="n">
        <x:v>7</x:v>
      </x:c>
      <x:c r="B20" s="38" t="str">
        <x:v>第 1 年</x:v>
      </x:c>
      <x:c r="C20" s="38" t="str">
        <x:v>M01 數位探險家：Mac、網路、AI 與安全</x:v>
      </x:c>
      <x:c r="D20" s="38" t="n">
        <x:v>7</x:v>
      </x:c>
      <x:c r="E20" s="38" t="str">
        <x:v>密碼城堡與雙重驗證</x:v>
      </x:c>
      <x:c r="F20" s="38" t="n">
        <x:v>1</x:v>
      </x:c>
      <x:c r="G20" s="38" t="str">
        <x:v>概念入門／官方優先</x:v>
      </x:c>
      <x:c r="H20" s="38" t="str">
        <x:v>密碼城堡與雙重驗證 Mac digital literacy internet safety beginner tutorial Apple</x:v>
      </x:c>
      <x:c r="I20" s="38" t="str">
        <x:v>https://www.youtube.com/results?search_query=%E5%AF%86%E7%A2%BC%E5%9F%8E%E5%A0%A1%E8%88%87%E9%9B%99%E9%87%8D%E9%A9%97%E8%AD%89+Mac+digital+literacy+internet+safety+beginner+tutorial+Apple</x:v>
      </x:c>
      <x:c r="J20" s="38" t="str">
        <x:v>課前暖身</x:v>
      </x:c>
      <x:c r="K20" s="38" t="str">
        <x:v>5–12 分鐘</x:v>
      </x:c>
      <x:c r="L20" s="38" t="str">
        <x:v>先建立直覺；看完能說出 3 個關鍵詞</x:v>
      </x:c>
      <x:c r="M20" s="38" t="str">
        <x:v>□ 未挑選</x:v>
      </x:c>
      <x:c r="N20" s="38" t="str"/>
      <x:c r="O20" s="38" t="str"/>
    </x:row>
    <x:row r="21">
      <x:c r="A21" s="38" t="n">
        <x:v>7</x:v>
      </x:c>
      <x:c r="B21" s="38" t="str">
        <x:v>第 1 年</x:v>
      </x:c>
      <x:c r="C21" s="38" t="str">
        <x:v>M01 數位探險家：Mac、網路、AI 與安全</x:v>
      </x:c>
      <x:c r="D21" s="38" t="n">
        <x:v>7</x:v>
      </x:c>
      <x:c r="E21" s="38" t="str">
        <x:v>密碼城堡與雙重驗證</x:v>
      </x:c>
      <x:c r="F21" s="38" t="n">
        <x:v>2</x:v>
      </x:c>
      <x:c r="G21" s="38" t="str">
        <x:v>跟做實作／專案導向</x:v>
      </x:c>
      <x:c r="H21" s="38" t="str">
        <x:v>密碼城堡與雙重驗證 理解長密碼、唯一密碼、密碼管理器與 2FA 的作用 hands on project for kids Mac digital literacy internet safety</x:v>
      </x:c>
      <x:c r="I21" s="38" t="str">
        <x:v>https://www.youtube.com/results?search_query=%E5%AF%86%E7%A2%BC%E5%9F%8E%E5%A0%A1%E8%88%87%E9%9B%99%E9%87%8D%E9%A9%97%E8%AD%89+%E7%90%86%E8%A7%A3%E9%95%B7%E5%AF%86%E7%A2%BC%E3%80%81%E5%94%AF%E4%B8%80%E5%AF%86%E7%A2%BC%E3%80%81%E5%AF%86%E7%A2%BC%E7%AE%A1%E7%90%86%E5%99%A8%E8%88%87+2FA+%E7%9A%84%E4%BD%9C%E7%94%A8+hands+on+project+for+kids+Mac+digital+literacy+internet+safety</x:v>
      </x:c>
      <x:c r="J21" s="38" t="str">
        <x:v>課中實作參考</x:v>
      </x:c>
      <x:c r="K21" s="38" t="str">
        <x:v>8–20 分鐘</x:v>
      </x:c>
      <x:c r="L21" s="38" t="str">
        <x:v>優先找有畫面操作、步驟清楚、可暫停跟做的版本</x:v>
      </x:c>
      <x:c r="M21" s="38" t="str">
        <x:v>□ 未挑選</x:v>
      </x:c>
      <x:c r="N21" s="38" t="str"/>
      <x:c r="O21" s="38" t="str"/>
    </x:row>
    <x:row r="22">
      <x:c r="A22" s="38" t="n">
        <x:v>7</x:v>
      </x:c>
      <x:c r="B22" s="38" t="str">
        <x:v>第 1 年</x:v>
      </x:c>
      <x:c r="C22" s="38" t="str">
        <x:v>M01 數位探險家：Mac、網路、AI 與安全</x:v>
      </x:c>
      <x:c r="D22" s="38" t="n">
        <x:v>7</x:v>
      </x:c>
      <x:c r="E22" s="38" t="str">
        <x:v>密碼城堡與雙重驗證</x:v>
      </x:c>
      <x:c r="F22" s="38" t="n">
        <x:v>3</x:v>
      </x:c>
      <x:c r="G22" s="38" t="str">
        <x:v>中文延伸／倫理安全</x:v>
      </x:c>
      <x:c r="H22" s="38" t="str">
        <x:v>密碼城堡與雙重驗證 中文 教學 原理 安全 親子 Mac digital literacy internet safety</x:v>
      </x:c>
      <x:c r="I22" s="38" t="str">
        <x:v>https://www.youtube.com/results?search_query=%E5%AF%86%E7%A2%BC%E5%9F%8E%E5%A0%A1%E8%88%87%E9%9B%99%E9%87%8D%E9%A9%97%E8%AD%89+%E4%B8%AD%E6%96%87+%E6%95%99%E5%AD%B8+%E5%8E%9F%E7%90%86+%E5%AE%89%E5%85%A8+%E8%A6%AA%E5%AD%90+Mac+digital+literacy+internet+safety</x:v>
      </x:c>
      <x:c r="J22" s="38" t="str">
        <x:v>課後延伸／親子討論</x:v>
      </x:c>
      <x:c r="K22" s="38" t="str">
        <x:v>6–15 分鐘</x:v>
      </x:c>
      <x:c r="L22" s="38" t="str">
        <x:v>補充應用、倫理、安全或真實案例；父子各說一個觀點</x:v>
      </x:c>
      <x:c r="M22" s="38" t="str">
        <x:v>□ 未挑選</x:v>
      </x:c>
      <x:c r="N22" s="38" t="str"/>
      <x:c r="O22" s="38" t="str"/>
    </x:row>
    <x:row r="23">
      <x:c r="A23" s="38" t="n">
        <x:v>8</x:v>
      </x:c>
      <x:c r="B23" s="38" t="str">
        <x:v>第 1 年</x:v>
      </x:c>
      <x:c r="C23" s="38" t="str">
        <x:v>M01 數位探險家：Mac、網路、AI 與安全</x:v>
      </x:c>
      <x:c r="D23" s="38" t="n">
        <x:v>8</x:v>
      </x:c>
      <x:c r="E23" s="38" t="str">
        <x:v>釣魚郵件偵探社</x:v>
      </x:c>
      <x:c r="F23" s="38" t="n">
        <x:v>1</x:v>
      </x:c>
      <x:c r="G23" s="38" t="str">
        <x:v>概念入門／官方優先</x:v>
      </x:c>
      <x:c r="H23" s="38" t="str">
        <x:v>釣魚郵件偵探社 Mac digital literacy internet safety beginner tutorial Apple</x:v>
      </x:c>
      <x:c r="I23" s="38" t="str">
        <x:v>https://www.youtube.com/results?search_query=%E9%87%A3%E9%AD%9A%E9%83%B5%E4%BB%B6%E5%81%B5%E6%8E%A2%E7%A4%BE+Mac+digital+literacy+internet+safety+beginner+tutorial+Apple</x:v>
      </x:c>
      <x:c r="J23" s="38" t="str">
        <x:v>課前暖身</x:v>
      </x:c>
      <x:c r="K23" s="38" t="str">
        <x:v>5–12 分鐘</x:v>
      </x:c>
      <x:c r="L23" s="38" t="str">
        <x:v>先建立直覺；看完能說出 3 個關鍵詞</x:v>
      </x:c>
      <x:c r="M23" s="38" t="str">
        <x:v>□ 未挑選</x:v>
      </x:c>
      <x:c r="N23" s="38" t="str"/>
      <x:c r="O23" s="38" t="str"/>
    </x:row>
    <x:row r="24">
      <x:c r="A24" s="38" t="n">
        <x:v>8</x:v>
      </x:c>
      <x:c r="B24" s="38" t="str">
        <x:v>第 1 年</x:v>
      </x:c>
      <x:c r="C24" s="38" t="str">
        <x:v>M01 數位探險家：Mac、網路、AI 與安全</x:v>
      </x:c>
      <x:c r="D24" s="38" t="n">
        <x:v>8</x:v>
      </x:c>
      <x:c r="E24" s="38" t="str">
        <x:v>釣魚郵件偵探社</x:v>
      </x:c>
      <x:c r="F24" s="38" t="n">
        <x:v>2</x:v>
      </x:c>
      <x:c r="G24" s="38" t="str">
        <x:v>跟做實作／專案導向</x:v>
      </x:c>
      <x:c r="H24" s="38" t="str">
        <x:v>釣魚郵件偵探社 辨識急迫語氣、偽造寄件者、奇怪網址、附件與付款要求 hands on project for kids Mac digital literacy internet safety</x:v>
      </x:c>
      <x:c r="I24" s="38" t="str">
        <x:v>https://www.youtube.com/results?search_query=%E9%87%A3%E9%AD%9A%E9%83%B5%E4%BB%B6%E5%81%B5%E6%8E%A2%E7%A4%BE+%E8%BE%A8%E8%AD%98%E6%80%A5%E8%BF%AB%E8%AA%9E%E6%B0%A3%E3%80%81%E5%81%BD%E9%80%A0%E5%AF%84%E4%BB%B6%E8%80%85%E3%80%81%E5%A5%87%E6%80%AA%E7%B6%B2%E5%9D%80%E3%80%81%E9%99%84%E4%BB%B6%E8%88%87%E4%BB%98%E6%AC%BE%E8%A6%81%E6%B1%82+hands+on+project+for+kids+Mac+digital+literacy+internet+safety</x:v>
      </x:c>
      <x:c r="J24" s="38" t="str">
        <x:v>課中實作參考</x:v>
      </x:c>
      <x:c r="K24" s="38" t="str">
        <x:v>8–20 分鐘</x:v>
      </x:c>
      <x:c r="L24" s="38" t="str">
        <x:v>優先找有畫面操作、步驟清楚、可暫停跟做的版本</x:v>
      </x:c>
      <x:c r="M24" s="38" t="str">
        <x:v>□ 未挑選</x:v>
      </x:c>
      <x:c r="N24" s="38" t="str"/>
      <x:c r="O24" s="38" t="str"/>
    </x:row>
    <x:row r="25">
      <x:c r="A25" s="38" t="n">
        <x:v>8</x:v>
      </x:c>
      <x:c r="B25" s="38" t="str">
        <x:v>第 1 年</x:v>
      </x:c>
      <x:c r="C25" s="38" t="str">
        <x:v>M01 數位探險家：Mac、網路、AI 與安全</x:v>
      </x:c>
      <x:c r="D25" s="38" t="n">
        <x:v>8</x:v>
      </x:c>
      <x:c r="E25" s="38" t="str">
        <x:v>釣魚郵件偵探社</x:v>
      </x:c>
      <x:c r="F25" s="38" t="n">
        <x:v>3</x:v>
      </x:c>
      <x:c r="G25" s="38" t="str">
        <x:v>中文延伸／倫理安全</x:v>
      </x:c>
      <x:c r="H25" s="38" t="str">
        <x:v>釣魚郵件偵探社 中文 教學 原理 安全 親子 Mac digital literacy internet safety</x:v>
      </x:c>
      <x:c r="I25" s="38" t="str">
        <x:v>https://www.youtube.com/results?search_query=%E9%87%A3%E9%AD%9A%E9%83%B5%E4%BB%B6%E5%81%B5%E6%8E%A2%E7%A4%BE+%E4%B8%AD%E6%96%87+%E6%95%99%E5%AD%B8+%E5%8E%9F%E7%90%86+%E5%AE%89%E5%85%A8+%E8%A6%AA%E5%AD%90+Mac+digital+literacy+internet+safety</x:v>
      </x:c>
      <x:c r="J25" s="38" t="str">
        <x:v>課後延伸／親子討論</x:v>
      </x:c>
      <x:c r="K25" s="38" t="str">
        <x:v>6–15 分鐘</x:v>
      </x:c>
      <x:c r="L25" s="38" t="str">
        <x:v>補充應用、倫理、安全或真實案例；父子各說一個觀點</x:v>
      </x:c>
      <x:c r="M25" s="38" t="str">
        <x:v>□ 未挑選</x:v>
      </x:c>
      <x:c r="N25" s="38" t="str"/>
      <x:c r="O25" s="38" t="str"/>
    </x:row>
    <x:row r="26">
      <x:c r="A26" s="38" t="n">
        <x:v>9</x:v>
      </x:c>
      <x:c r="B26" s="38" t="str">
        <x:v>第 1 年</x:v>
      </x:c>
      <x:c r="C26" s="38" t="str">
        <x:v>M01 數位探險家：Mac、網路、AI 與安全</x:v>
      </x:c>
      <x:c r="D26" s="38" t="n">
        <x:v>9</x:v>
      </x:c>
      <x:c r="E26" s="38" t="str">
        <x:v>個資、照片與數位足跡</x:v>
      </x:c>
      <x:c r="F26" s="38" t="n">
        <x:v>1</x:v>
      </x:c>
      <x:c r="G26" s="38" t="str">
        <x:v>概念入門／官方優先</x:v>
      </x:c>
      <x:c r="H26" s="38" t="str">
        <x:v>個資、照片與數位足跡 Mac digital literacy internet safety beginner tutorial Apple</x:v>
      </x:c>
      <x:c r="I26" s="38" t="str">
        <x:v>https://www.youtube.com/results?search_query=%E5%80%8B%E8%B3%87%E3%80%81%E7%85%A7%E7%89%87%E8%88%87%E6%95%B8%E4%BD%8D%E8%B6%B3%E8%B7%A1+Mac+digital+literacy+internet+safety+beginner+tutorial+Apple</x:v>
      </x:c>
      <x:c r="J26" s="38" t="str">
        <x:v>課前暖身</x:v>
      </x:c>
      <x:c r="K26" s="38" t="str">
        <x:v>5–12 分鐘</x:v>
      </x:c>
      <x:c r="L26" s="38" t="str">
        <x:v>先建立直覺；看完能說出 3 個關鍵詞</x:v>
      </x:c>
      <x:c r="M26" s="38" t="str">
        <x:v>□ 未挑選</x:v>
      </x:c>
      <x:c r="N26" s="38" t="str"/>
      <x:c r="O26" s="38" t="str"/>
    </x:row>
    <x:row r="27">
      <x:c r="A27" s="38" t="n">
        <x:v>9</x:v>
      </x:c>
      <x:c r="B27" s="38" t="str">
        <x:v>第 1 年</x:v>
      </x:c>
      <x:c r="C27" s="38" t="str">
        <x:v>M01 數位探險家：Mac、網路、AI 與安全</x:v>
      </x:c>
      <x:c r="D27" s="38" t="n">
        <x:v>9</x:v>
      </x:c>
      <x:c r="E27" s="38" t="str">
        <x:v>個資、照片與數位足跡</x:v>
      </x:c>
      <x:c r="F27" s="38" t="n">
        <x:v>2</x:v>
      </x:c>
      <x:c r="G27" s="38" t="str">
        <x:v>跟做實作／專案導向</x:v>
      </x:c>
      <x:c r="H27" s="38" t="str">
        <x:v>個資、照片與數位足跡 理解個資分類、公開範圍、照片中隱藏資訊與永久性 hands on project for kids Mac digital literacy internet safety</x:v>
      </x:c>
      <x:c r="I27" s="38" t="str">
        <x:v>https://www.youtube.com/results?search_query=%E5%80%8B%E8%B3%87%E3%80%81%E7%85%A7%E7%89%87%E8%88%87%E6%95%B8%E4%BD%8D%E8%B6%B3%E8%B7%A1+%E7%90%86%E8%A7%A3%E5%80%8B%E8%B3%87%E5%88%86%E9%A1%9E%E3%80%81%E5%85%AC%E9%96%8B%E7%AF%84%E5%9C%8D%E3%80%81%E7%85%A7%E7%89%87%E4%B8%AD%E9%9A%B1%E8%97%8F%E8%B3%87%E8%A8%8A%E8%88%87%E6%B0%B8%E4%B9%85%E6%80%A7+hands+on+project+for+kids+Mac+digital+literacy+internet+safety</x:v>
      </x:c>
      <x:c r="J27" s="38" t="str">
        <x:v>課中實作參考</x:v>
      </x:c>
      <x:c r="K27" s="38" t="str">
        <x:v>8–20 分鐘</x:v>
      </x:c>
      <x:c r="L27" s="38" t="str">
        <x:v>優先找有畫面操作、步驟清楚、可暫停跟做的版本</x:v>
      </x:c>
      <x:c r="M27" s="38" t="str">
        <x:v>□ 未挑選</x:v>
      </x:c>
      <x:c r="N27" s="38" t="str"/>
      <x:c r="O27" s="38" t="str"/>
    </x:row>
    <x:row r="28">
      <x:c r="A28" s="38" t="n">
        <x:v>9</x:v>
      </x:c>
      <x:c r="B28" s="38" t="str">
        <x:v>第 1 年</x:v>
      </x:c>
      <x:c r="C28" s="38" t="str">
        <x:v>M01 數位探險家：Mac、網路、AI 與安全</x:v>
      </x:c>
      <x:c r="D28" s="38" t="n">
        <x:v>9</x:v>
      </x:c>
      <x:c r="E28" s="38" t="str">
        <x:v>個資、照片與數位足跡</x:v>
      </x:c>
      <x:c r="F28" s="38" t="n">
        <x:v>3</x:v>
      </x:c>
      <x:c r="G28" s="38" t="str">
        <x:v>中文延伸／倫理安全</x:v>
      </x:c>
      <x:c r="H28" s="38" t="str">
        <x:v>個資、照片與數位足跡 中文 教學 原理 安全 親子 Mac digital literacy internet safety</x:v>
      </x:c>
      <x:c r="I28" s="38" t="str">
        <x:v>https://www.youtube.com/results?search_query=%E5%80%8B%E8%B3%87%E3%80%81%E7%85%A7%E7%89%87%E8%88%87%E6%95%B8%E4%BD%8D%E8%B6%B3%E8%B7%A1+%E4%B8%AD%E6%96%87+%E6%95%99%E5%AD%B8+%E5%8E%9F%E7%90%86+%E5%AE%89%E5%85%A8+%E8%A6%AA%E5%AD%90+Mac+digital+literacy+internet+safety</x:v>
      </x:c>
      <x:c r="J28" s="38" t="str">
        <x:v>課後延伸／親子討論</x:v>
      </x:c>
      <x:c r="K28" s="38" t="str">
        <x:v>6–15 分鐘</x:v>
      </x:c>
      <x:c r="L28" s="38" t="str">
        <x:v>補充應用、倫理、安全或真實案例；父子各說一個觀點</x:v>
      </x:c>
      <x:c r="M28" s="38" t="str">
        <x:v>□ 未挑選</x:v>
      </x:c>
      <x:c r="N28" s="38" t="str"/>
      <x:c r="O28" s="38" t="str"/>
    </x:row>
    <x:row r="29">
      <x:c r="A29" s="38" t="n">
        <x:v>10</x:v>
      </x:c>
      <x:c r="B29" s="38" t="str">
        <x:v>第 1 年</x:v>
      </x:c>
      <x:c r="C29" s="38" t="str">
        <x:v>M01 數位探險家：Mac、網路、AI 與安全</x:v>
      </x:c>
      <x:c r="D29" s="38" t="n">
        <x:v>10</x:v>
      </x:c>
      <x:c r="E29" s="38" t="str">
        <x:v>AI 是什麼、不是什麼</x:v>
      </x:c>
      <x:c r="F29" s="38" t="n">
        <x:v>1</x:v>
      </x:c>
      <x:c r="G29" s="38" t="str">
        <x:v>概念入門／官方優先</x:v>
      </x:c>
      <x:c r="H29" s="38" t="str">
        <x:v>AI 是什麼、不是什麼 Mac digital literacy internet safety beginner tutorial Apple</x:v>
      </x:c>
      <x:c r="I29" s="38" t="str">
        <x:v>https://www.youtube.com/results?search_query=AI+%E6%98%AF%E4%BB%80%E9%BA%BC%E3%80%81%E4%B8%8D%E6%98%AF%E4%BB%80%E9%BA%BC+Mac+digital+literacy+internet+safety+beginner+tutorial+Apple</x:v>
      </x:c>
      <x:c r="J29" s="38" t="str">
        <x:v>課前暖身</x:v>
      </x:c>
      <x:c r="K29" s="38" t="str">
        <x:v>5–12 分鐘</x:v>
      </x:c>
      <x:c r="L29" s="38" t="str">
        <x:v>先建立直覺；看完能說出 3 個關鍵詞</x:v>
      </x:c>
      <x:c r="M29" s="38" t="str">
        <x:v>□ 未挑選</x:v>
      </x:c>
      <x:c r="N29" s="38" t="str"/>
      <x:c r="O29" s="38" t="str"/>
    </x:row>
    <x:row r="30">
      <x:c r="A30" s="38" t="n">
        <x:v>10</x:v>
      </x:c>
      <x:c r="B30" s="38" t="str">
        <x:v>第 1 年</x:v>
      </x:c>
      <x:c r="C30" s="38" t="str">
        <x:v>M01 數位探險家：Mac、網路、AI 與安全</x:v>
      </x:c>
      <x:c r="D30" s="38" t="n">
        <x:v>10</x:v>
      </x:c>
      <x:c r="E30" s="38" t="str">
        <x:v>AI 是什麼、不是什麼</x:v>
      </x:c>
      <x:c r="F30" s="38" t="n">
        <x:v>2</x:v>
      </x:c>
      <x:c r="G30" s="38" t="str">
        <x:v>跟做實作／專案導向</x:v>
      </x:c>
      <x:c r="H30" s="38" t="str">
        <x:v>AI 是什麼、不是什麼 區分規則式程式、機器學習與生成式 AI；理解 AI 沒有魔法 hands on project for kids Mac digital literacy</x:v>
      </x:c>
      <x:c r="I30" s="38" t="str">
        <x:v>https://www.youtube.com/results?search_query=AI+%E6%98%AF%E4%BB%80%E9%BA%BC%E3%80%81%E4%B8%8D%E6%98%AF%E4%BB%80%E9%BA%BC+%E5%8D%80%E5%88%86%E8%A6%8F%E5%89%87%E5%BC%8F%E7%A8%8B%E5%BC%8F%E3%80%81%E6%A9%9F%E5%99%A8%E5%AD%B8%E7%BF%92%E8%88%87%E7%94%9F%E6%88%90%E5%BC%8F+AI%EF%BC%9B%E7%90%86%E8%A7%A3+AI+%E6%B2%92%E6%9C%89%E9%AD%94%E6%B3%95+hands+on+project+for+kids+Mac+digital+literacy+internet+safety</x:v>
      </x:c>
      <x:c r="J30" s="38" t="str">
        <x:v>課中實作參考</x:v>
      </x:c>
      <x:c r="K30" s="38" t="str">
        <x:v>8–20 分鐘</x:v>
      </x:c>
      <x:c r="L30" s="38" t="str">
        <x:v>優先找有畫面操作、步驟清楚、可暫停跟做的版本</x:v>
      </x:c>
      <x:c r="M30" s="38" t="str">
        <x:v>□ 未挑選</x:v>
      </x:c>
      <x:c r="N30" s="38" t="str"/>
      <x:c r="O30" s="38" t="str"/>
    </x:row>
    <x:row r="31">
      <x:c r="A31" s="38" t="n">
        <x:v>10</x:v>
      </x:c>
      <x:c r="B31" s="38" t="str">
        <x:v>第 1 年</x:v>
      </x:c>
      <x:c r="C31" s="38" t="str">
        <x:v>M01 數位探險家：Mac、網路、AI 與安全</x:v>
      </x:c>
      <x:c r="D31" s="38" t="n">
        <x:v>10</x:v>
      </x:c>
      <x:c r="E31" s="38" t="str">
        <x:v>AI 是什麼、不是什麼</x:v>
      </x:c>
      <x:c r="F31" s="38" t="n">
        <x:v>3</x:v>
      </x:c>
      <x:c r="G31" s="38" t="str">
        <x:v>中文延伸／倫理安全</x:v>
      </x:c>
      <x:c r="H31" s="38" t="str">
        <x:v>AI 是什麼、不是什麼 中文 教學 原理 安全 親子 Mac digital literacy internet safety</x:v>
      </x:c>
      <x:c r="I31" s="38" t="str">
        <x:v>https://www.youtube.com/results?search_query=AI+%E6%98%AF%E4%BB%80%E9%BA%BC%E3%80%81%E4%B8%8D%E6%98%AF%E4%BB%80%E9%BA%BC+%E4%B8%AD%E6%96%87+%E6%95%99%E5%AD%B8+%E5%8E%9F%E7%90%86+%E5%AE%89%E5%85%A8+%E8%A6%AA%E5%AD%90+Mac+digital+literacy+internet+safety</x:v>
      </x:c>
      <x:c r="J31" s="38" t="str">
        <x:v>課後延伸／親子討論</x:v>
      </x:c>
      <x:c r="K31" s="38" t="str">
        <x:v>6–15 分鐘</x:v>
      </x:c>
      <x:c r="L31" s="38" t="str">
        <x:v>補充應用、倫理、安全或真實案例；父子各說一個觀點</x:v>
      </x:c>
      <x:c r="M31" s="38" t="str">
        <x:v>□ 未挑選</x:v>
      </x:c>
      <x:c r="N31" s="38" t="str"/>
      <x:c r="O31" s="38" t="str"/>
    </x:row>
    <x:row r="32">
      <x:c r="A32" s="38" t="n">
        <x:v>11</x:v>
      </x:c>
      <x:c r="B32" s="38" t="str">
        <x:v>第 1 年</x:v>
      </x:c>
      <x:c r="C32" s="38" t="str">
        <x:v>M01 數位探險家：Mac、網路、AI 與安全</x:v>
      </x:c>
      <x:c r="D32" s="38" t="n">
        <x:v>11</x:v>
      </x:c>
      <x:c r="E32" s="38" t="str">
        <x:v>第一個好提示詞：任務、背景、限制、格式</x:v>
      </x:c>
      <x:c r="F32" s="38" t="n">
        <x:v>1</x:v>
      </x:c>
      <x:c r="G32" s="38" t="str">
        <x:v>概念入門／官方優先</x:v>
      </x:c>
      <x:c r="H32" s="38" t="str">
        <x:v>第一個好提示詞 任務、背景、限制、格式 Mac digital literacy internet safety beginner tutorial Apple</x:v>
      </x:c>
      <x:c r="I32" s="38" t="str">
        <x:v>https://www.youtube.com/results?search_query=%E7%AC%AC%E4%B8%80%E5%80%8B%E5%A5%BD%E6%8F%90%E7%A4%BA%E8%A9%9E+%E4%BB%BB%E5%8B%99%E3%80%81%E8%83%8C%E6%99%AF%E3%80%81%E9%99%90%E5%88%B6%E3%80%81%E6%A0%BC%E5%BC%8F+Mac+digital+literacy+internet+safety+beginner+tutorial+Apple</x:v>
      </x:c>
      <x:c r="J32" s="38" t="str">
        <x:v>課前暖身</x:v>
      </x:c>
      <x:c r="K32" s="38" t="str">
        <x:v>5–12 分鐘</x:v>
      </x:c>
      <x:c r="L32" s="38" t="str">
        <x:v>先建立直覺；看完能說出 3 個關鍵詞</x:v>
      </x:c>
      <x:c r="M32" s="38" t="str">
        <x:v>□ 未挑選</x:v>
      </x:c>
      <x:c r="N32" s="38" t="str"/>
      <x:c r="O32" s="38" t="str"/>
    </x:row>
    <x:row r="33">
      <x:c r="A33" s="38" t="n">
        <x:v>11</x:v>
      </x:c>
      <x:c r="B33" s="38" t="str">
        <x:v>第 1 年</x:v>
      </x:c>
      <x:c r="C33" s="38" t="str">
        <x:v>M01 數位探險家：Mac、網路、AI 與安全</x:v>
      </x:c>
      <x:c r="D33" s="38" t="n">
        <x:v>11</x:v>
      </x:c>
      <x:c r="E33" s="38" t="str">
        <x:v>第一個好提示詞：任務、背景、限制、格式</x:v>
      </x:c>
      <x:c r="F33" s="38" t="n">
        <x:v>2</x:v>
      </x:c>
      <x:c r="G33" s="38" t="str">
        <x:v>跟做實作／專案導向</x:v>
      </x:c>
      <x:c r="H33" s="38" t="str">
        <x:v>第一個好提示詞 任務、背景、限制、格式 學會以明確目的與輸出格式和 AI 協作 hands on project for kids Mac digital literacy internet</x:v>
      </x:c>
      <x:c r="I33" s="38" t="str">
        <x:v>https://www.youtube.com/results?search_query=%E7%AC%AC%E4%B8%80%E5%80%8B%E5%A5%BD%E6%8F%90%E7%A4%BA%E8%A9%9E+%E4%BB%BB%E5%8B%99%E3%80%81%E8%83%8C%E6%99%AF%E3%80%81%E9%99%90%E5%88%B6%E3%80%81%E6%A0%BC%E5%BC%8F+%E5%AD%B8%E6%9C%83%E4%BB%A5%E6%98%8E%E7%A2%BA%E7%9B%AE%E7%9A%84%E8%88%87%E8%BC%B8%E5%87%BA%E6%A0%BC%E5%BC%8F%E5%92%8C+AI+%E5%8D%94%E4%BD%9C+hands+on+project+for+kids+Mac+digital+literacy+internet+safety</x:v>
      </x:c>
      <x:c r="J33" s="38" t="str">
        <x:v>課中實作參考</x:v>
      </x:c>
      <x:c r="K33" s="38" t="str">
        <x:v>8–20 分鐘</x:v>
      </x:c>
      <x:c r="L33" s="38" t="str">
        <x:v>優先找有畫面操作、步驟清楚、可暫停跟做的版本</x:v>
      </x:c>
      <x:c r="M33" s="38" t="str">
        <x:v>□ 未挑選</x:v>
      </x:c>
      <x:c r="N33" s="38" t="str"/>
      <x:c r="O33" s="38" t="str"/>
    </x:row>
    <x:row r="34">
      <x:c r="A34" s="38" t="n">
        <x:v>11</x:v>
      </x:c>
      <x:c r="B34" s="38" t="str">
        <x:v>第 1 年</x:v>
      </x:c>
      <x:c r="C34" s="38" t="str">
        <x:v>M01 數位探險家：Mac、網路、AI 與安全</x:v>
      </x:c>
      <x:c r="D34" s="38" t="n">
        <x:v>11</x:v>
      </x:c>
      <x:c r="E34" s="38" t="str">
        <x:v>第一個好提示詞：任務、背景、限制、格式</x:v>
      </x:c>
      <x:c r="F34" s="38" t="n">
        <x:v>3</x:v>
      </x:c>
      <x:c r="G34" s="38" t="str">
        <x:v>中文延伸／倫理安全</x:v>
      </x:c>
      <x:c r="H34" s="38" t="str">
        <x:v>第一個好提示詞 任務、背景、限制、格式 中文 教學 原理 安全 親子 Mac digital literacy internet safety</x:v>
      </x:c>
      <x:c r="I34" s="38" t="str">
        <x:v>https://www.youtube.com/results?search_query=%E7%AC%AC%E4%B8%80%E5%80%8B%E5%A5%BD%E6%8F%90%E7%A4%BA%E8%A9%9E+%E4%BB%BB%E5%8B%99%E3%80%81%E8%83%8C%E6%99%AF%E3%80%81%E9%99%90%E5%88%B6%E3%80%81%E6%A0%BC%E5%BC%8F+%E4%B8%AD%E6%96%87+%E6%95%99%E5%AD%B8+%E5%8E%9F%E7%90%86+%E5%AE%89%E5%85%A8+%E8%A6%AA%E5%AD%90+Mac+digital+literacy+internet+safety</x:v>
      </x:c>
      <x:c r="J34" s="38" t="str">
        <x:v>課後延伸／親子討論</x:v>
      </x:c>
      <x:c r="K34" s="38" t="str">
        <x:v>6–15 分鐘</x:v>
      </x:c>
      <x:c r="L34" s="38" t="str">
        <x:v>補充應用、倫理、安全或真實案例；父子各說一個觀點</x:v>
      </x:c>
      <x:c r="M34" s="38" t="str">
        <x:v>□ 未挑選</x:v>
      </x:c>
      <x:c r="N34" s="38" t="str"/>
      <x:c r="O34" s="38" t="str"/>
    </x:row>
    <x:row r="35">
      <x:c r="A35" s="38" t="n">
        <x:v>12</x:v>
      </x:c>
      <x:c r="B35" s="38" t="str">
        <x:v>第 1 年</x:v>
      </x:c>
      <x:c r="C35" s="38" t="str">
        <x:v>M01 數位探險家：Mac、網路、AI 與安全</x:v>
      </x:c>
      <x:c r="D35" s="38" t="n">
        <x:v>12</x:v>
      </x:c>
      <x:c r="E35" s="38" t="str">
        <x:v>AI 會亂講：幻覺抓錯賽</x:v>
      </x:c>
      <x:c r="F35" s="38" t="n">
        <x:v>1</x:v>
      </x:c>
      <x:c r="G35" s="38" t="str">
        <x:v>概念入門／官方優先</x:v>
      </x:c>
      <x:c r="H35" s="38" t="str">
        <x:v>AI 會亂講 幻覺抓錯賽 Mac digital literacy internet safety beginner tutorial Apple</x:v>
      </x:c>
      <x:c r="I35" s="38" t="str">
        <x:v>https://www.youtube.com/results?search_query=AI+%E6%9C%83%E4%BA%82%E8%AC%9B+%E5%B9%BB%E8%A6%BA%E6%8A%93%E9%8C%AF%E8%B3%BD+Mac+digital+literacy+internet+safety+beginner+tutorial+Apple</x:v>
      </x:c>
      <x:c r="J35" s="38" t="str">
        <x:v>課前暖身</x:v>
      </x:c>
      <x:c r="K35" s="38" t="str">
        <x:v>5–12 分鐘</x:v>
      </x:c>
      <x:c r="L35" s="38" t="str">
        <x:v>先建立直覺；看完能說出 3 個關鍵詞</x:v>
      </x:c>
      <x:c r="M35" s="38" t="str">
        <x:v>□ 未挑選</x:v>
      </x:c>
      <x:c r="N35" s="38" t="str"/>
      <x:c r="O35" s="38" t="str"/>
    </x:row>
    <x:row r="36">
      <x:c r="A36" s="38" t="n">
        <x:v>12</x:v>
      </x:c>
      <x:c r="B36" s="38" t="str">
        <x:v>第 1 年</x:v>
      </x:c>
      <x:c r="C36" s="38" t="str">
        <x:v>M01 數位探險家：Mac、網路、AI 與安全</x:v>
      </x:c>
      <x:c r="D36" s="38" t="n">
        <x:v>12</x:v>
      </x:c>
      <x:c r="E36" s="38" t="str">
        <x:v>AI 會亂講：幻覺抓錯賽</x:v>
      </x:c>
      <x:c r="F36" s="38" t="n">
        <x:v>2</x:v>
      </x:c>
      <x:c r="G36" s="38" t="str">
        <x:v>跟做實作／專案導向</x:v>
      </x:c>
      <x:c r="H36" s="38" t="str">
        <x:v>AI 會亂講 幻覺抓錯賽 養成查核名稱、數字、日期、引用與不確定性的習慣 hands on project for kids Mac digital literacy internet safety</x:v>
      </x:c>
      <x:c r="I36" s="38" t="str">
        <x:v>https://www.youtube.com/results?search_query=AI+%E6%9C%83%E4%BA%82%E8%AC%9B+%E5%B9%BB%E8%A6%BA%E6%8A%93%E9%8C%AF%E8%B3%BD+%E9%A4%8A%E6%88%90%E6%9F%A5%E6%A0%B8%E5%90%8D%E7%A8%B1%E3%80%81%E6%95%B8%E5%AD%97%E3%80%81%E6%97%A5%E6%9C%9F%E3%80%81%E5%BC%95%E7%94%A8%E8%88%87%E4%B8%8D%E7%A2%BA%E5%AE%9A%E6%80%A7%E7%9A%84%E7%BF%92%E6%85%A3+hands+on+project+for+kids+Mac+digital+literacy+internet+safety</x:v>
      </x:c>
      <x:c r="J36" s="38" t="str">
        <x:v>課中實作參考</x:v>
      </x:c>
      <x:c r="K36" s="38" t="str">
        <x:v>8–20 分鐘</x:v>
      </x:c>
      <x:c r="L36" s="38" t="str">
        <x:v>優先找有畫面操作、步驟清楚、可暫停跟做的版本</x:v>
      </x:c>
      <x:c r="M36" s="38" t="str">
        <x:v>□ 未挑選</x:v>
      </x:c>
      <x:c r="N36" s="38" t="str"/>
      <x:c r="O36" s="38" t="str"/>
    </x:row>
    <x:row r="37">
      <x:c r="A37" s="38" t="n">
        <x:v>12</x:v>
      </x:c>
      <x:c r="B37" s="38" t="str">
        <x:v>第 1 年</x:v>
      </x:c>
      <x:c r="C37" s="38" t="str">
        <x:v>M01 數位探險家：Mac、網路、AI 與安全</x:v>
      </x:c>
      <x:c r="D37" s="38" t="n">
        <x:v>12</x:v>
      </x:c>
      <x:c r="E37" s="38" t="str">
        <x:v>AI 會亂講：幻覺抓錯賽</x:v>
      </x:c>
      <x:c r="F37" s="38" t="n">
        <x:v>3</x:v>
      </x:c>
      <x:c r="G37" s="38" t="str">
        <x:v>中文延伸／倫理安全</x:v>
      </x:c>
      <x:c r="H37" s="38" t="str">
        <x:v>AI 會亂講 幻覺抓錯賽 中文 教學 原理 安全 親子 Mac digital literacy internet safety</x:v>
      </x:c>
      <x:c r="I37" s="38" t="str">
        <x:v>https://www.youtube.com/results?search_query=AI+%E6%9C%83%E4%BA%82%E8%AC%9B+%E5%B9%BB%E8%A6%BA%E6%8A%93%E9%8C%AF%E8%B3%BD+%E4%B8%AD%E6%96%87+%E6%95%99%E5%AD%B8+%E5%8E%9F%E7%90%86+%E5%AE%89%E5%85%A8+%E8%A6%AA%E5%AD%90+Mac+digital+literacy+internet+safety</x:v>
      </x:c>
      <x:c r="J37" s="38" t="str">
        <x:v>課後延伸／親子討論</x:v>
      </x:c>
      <x:c r="K37" s="38" t="str">
        <x:v>6–15 分鐘</x:v>
      </x:c>
      <x:c r="L37" s="38" t="str">
        <x:v>補充應用、倫理、安全或真實案例；父子各說一個觀點</x:v>
      </x:c>
      <x:c r="M37" s="38" t="str">
        <x:v>□ 未挑選</x:v>
      </x:c>
      <x:c r="N37" s="38" t="str"/>
      <x:c r="O37" s="38" t="str"/>
    </x:row>
    <x:row r="38">
      <x:c r="A38" s="38" t="n">
        <x:v>13</x:v>
      </x:c>
      <x:c r="B38" s="38" t="str">
        <x:v>第 1 年</x:v>
      </x:c>
      <x:c r="C38" s="38" t="str">
        <x:v>M01 數位探險家：Mac、網路、AI 與安全</x:v>
      </x:c>
      <x:c r="D38" s="38" t="n">
        <x:v>13</x:v>
      </x:c>
      <x:c r="E38" s="38" t="str">
        <x:v>文字、圖片、聲音 AI 體驗站</x:v>
      </x:c>
      <x:c r="F38" s="38" t="n">
        <x:v>1</x:v>
      </x:c>
      <x:c r="G38" s="38" t="str">
        <x:v>概念入門／官方優先</x:v>
      </x:c>
      <x:c r="H38" s="38" t="str">
        <x:v>文字、圖片、聲音 AI 體驗站 Mac digital literacy internet safety beginner tutorial Apple</x:v>
      </x:c>
      <x:c r="I38" s="38" t="str">
        <x:v>https://www.youtube.com/results?search_query=%E6%96%87%E5%AD%97%E3%80%81%E5%9C%96%E7%89%87%E3%80%81%E8%81%B2%E9%9F%B3+AI+%E9%AB%94%E9%A9%97%E7%AB%99+Mac+digital+literacy+internet+safety+beginner+tutorial+Apple</x:v>
      </x:c>
      <x:c r="J38" s="38" t="str">
        <x:v>課前暖身</x:v>
      </x:c>
      <x:c r="K38" s="38" t="str">
        <x:v>5–12 分鐘</x:v>
      </x:c>
      <x:c r="L38" s="38" t="str">
        <x:v>先建立直覺；看完能說出 3 個關鍵詞</x:v>
      </x:c>
      <x:c r="M38" s="38" t="str">
        <x:v>□ 未挑選</x:v>
      </x:c>
      <x:c r="N38" s="38" t="str"/>
      <x:c r="O38" s="38" t="str"/>
    </x:row>
    <x:row r="39">
      <x:c r="A39" s="38" t="n">
        <x:v>13</x:v>
      </x:c>
      <x:c r="B39" s="38" t="str">
        <x:v>第 1 年</x:v>
      </x:c>
      <x:c r="C39" s="38" t="str">
        <x:v>M01 數位探險家：Mac、網路、AI 與安全</x:v>
      </x:c>
      <x:c r="D39" s="38" t="n">
        <x:v>13</x:v>
      </x:c>
      <x:c r="E39" s="38" t="str">
        <x:v>文字、圖片、聲音 AI 體驗站</x:v>
      </x:c>
      <x:c r="F39" s="38" t="n">
        <x:v>2</x:v>
      </x:c>
      <x:c r="G39" s="38" t="str">
        <x:v>跟做實作／專案導向</x:v>
      </x:c>
      <x:c r="H39" s="38" t="str">
        <x:v>文字、圖片、聲音 AI 體驗站 比較不同生成媒介的輸入、輸出、限制與風險 hands on project for kids Mac digital literacy internet safety</x:v>
      </x:c>
      <x:c r="I39" s="38" t="str">
        <x:v>https://www.youtube.com/results?search_query=%E6%96%87%E5%AD%97%E3%80%81%E5%9C%96%E7%89%87%E3%80%81%E8%81%B2%E9%9F%B3+AI+%E9%AB%94%E9%A9%97%E7%AB%99+%E6%AF%94%E8%BC%83%E4%B8%8D%E5%90%8C%E7%94%9F%E6%88%90%E5%AA%92%E4%BB%8B%E7%9A%84%E8%BC%B8%E5%85%A5%E3%80%81%E8%BC%B8%E5%87%BA%E3%80%81%E9%99%90%E5%88%B6%E8%88%87%E9%A2%A8%E9%9A%AA+hands+on+project+for+kids+Mac+digital+literacy+internet+safety</x:v>
      </x:c>
      <x:c r="J39" s="38" t="str">
        <x:v>課中實作參考</x:v>
      </x:c>
      <x:c r="K39" s="38" t="str">
        <x:v>8–20 分鐘</x:v>
      </x:c>
      <x:c r="L39" s="38" t="str">
        <x:v>優先找有畫面操作、步驟清楚、可暫停跟做的版本</x:v>
      </x:c>
      <x:c r="M39" s="38" t="str">
        <x:v>□ 未挑選</x:v>
      </x:c>
      <x:c r="N39" s="38" t="str"/>
      <x:c r="O39" s="38" t="str"/>
    </x:row>
    <x:row r="40">
      <x:c r="A40" s="38" t="n">
        <x:v>13</x:v>
      </x:c>
      <x:c r="B40" s="38" t="str">
        <x:v>第 1 年</x:v>
      </x:c>
      <x:c r="C40" s="38" t="str">
        <x:v>M01 數位探險家：Mac、網路、AI 與安全</x:v>
      </x:c>
      <x:c r="D40" s="38" t="n">
        <x:v>13</x:v>
      </x:c>
      <x:c r="E40" s="38" t="str">
        <x:v>文字、圖片、聲音 AI 體驗站</x:v>
      </x:c>
      <x:c r="F40" s="38" t="n">
        <x:v>3</x:v>
      </x:c>
      <x:c r="G40" s="38" t="str">
        <x:v>中文延伸／倫理安全</x:v>
      </x:c>
      <x:c r="H40" s="38" t="str">
        <x:v>文字、圖片、聲音 AI 體驗站 中文 教學 原理 安全 親子 Mac digital literacy internet safety</x:v>
      </x:c>
      <x:c r="I40" s="38" t="str">
        <x:v>https://www.youtube.com/results?search_query=%E6%96%87%E5%AD%97%E3%80%81%E5%9C%96%E7%89%87%E3%80%81%E8%81%B2%E9%9F%B3+AI+%E9%AB%94%E9%A9%97%E7%AB%99+%E4%B8%AD%E6%96%87+%E6%95%99%E5%AD%B8+%E5%8E%9F%E7%90%86+%E5%AE%89%E5%85%A8+%E8%A6%AA%E5%AD%90+Mac+digital+literacy+internet+safety</x:v>
      </x:c>
      <x:c r="J40" s="38" t="str">
        <x:v>課後延伸／親子討論</x:v>
      </x:c>
      <x:c r="K40" s="38" t="str">
        <x:v>6–15 分鐘</x:v>
      </x:c>
      <x:c r="L40" s="38" t="str">
        <x:v>補充應用、倫理、安全或真實案例；父子各說一個觀點</x:v>
      </x:c>
      <x:c r="M40" s="38" t="str">
        <x:v>□ 未挑選</x:v>
      </x:c>
      <x:c r="N40" s="38" t="str"/>
      <x:c r="O40" s="38" t="str"/>
    </x:row>
    <x:row r="41">
      <x:c r="A41" s="38" t="n">
        <x:v>14</x:v>
      </x:c>
      <x:c r="B41" s="38" t="str">
        <x:v>第 1 年</x:v>
      </x:c>
      <x:c r="C41" s="38" t="str">
        <x:v>M01 數位探險家：Mac、網路、AI 與安全</x:v>
      </x:c>
      <x:c r="D41" s="38" t="n">
        <x:v>14</x:v>
      </x:c>
      <x:c r="E41" s="38" t="str">
        <x:v>我們家的科技公約</x:v>
      </x:c>
      <x:c r="F41" s="38" t="n">
        <x:v>1</x:v>
      </x:c>
      <x:c r="G41" s="38" t="str">
        <x:v>概念入門／官方優先</x:v>
      </x:c>
      <x:c r="H41" s="38" t="str">
        <x:v>我們家的科技公約 Mac digital literacy internet safety beginner tutorial Apple</x:v>
      </x:c>
      <x:c r="I41" s="38" t="str">
        <x:v>https://www.youtube.com/results?search_query=%E6%88%91%E5%80%91%E5%AE%B6%E7%9A%84%E7%A7%91%E6%8A%80%E5%85%AC%E7%B4%84+Mac+digital+literacy+internet+safety+beginner+tutorial+Apple</x:v>
      </x:c>
      <x:c r="J41" s="38" t="str">
        <x:v>課前暖身</x:v>
      </x:c>
      <x:c r="K41" s="38" t="str">
        <x:v>5–12 分鐘</x:v>
      </x:c>
      <x:c r="L41" s="38" t="str">
        <x:v>先建立直覺；看完能說出 3 個關鍵詞</x:v>
      </x:c>
      <x:c r="M41" s="38" t="str">
        <x:v>□ 未挑選</x:v>
      </x:c>
      <x:c r="N41" s="38" t="str"/>
      <x:c r="O41" s="38" t="str"/>
    </x:row>
    <x:row r="42">
      <x:c r="A42" s="38" t="n">
        <x:v>14</x:v>
      </x:c>
      <x:c r="B42" s="38" t="str">
        <x:v>第 1 年</x:v>
      </x:c>
      <x:c r="C42" s="38" t="str">
        <x:v>M01 數位探險家：Mac、網路、AI 與安全</x:v>
      </x:c>
      <x:c r="D42" s="38" t="n">
        <x:v>14</x:v>
      </x:c>
      <x:c r="E42" s="38" t="str">
        <x:v>我們家的科技公約</x:v>
      </x:c>
      <x:c r="F42" s="38" t="n">
        <x:v>2</x:v>
      </x:c>
      <x:c r="G42" s="38" t="str">
        <x:v>跟做實作／專案導向</x:v>
      </x:c>
      <x:c r="H42" s="38" t="str">
        <x:v>我們家的科技公約 共同建立使用時間、付費、隱私、AI 作業與求助規則 hands on project for kids Mac digital literacy internet safety</x:v>
      </x:c>
      <x:c r="I42" s="38" t="str">
        <x:v>https://www.youtube.com/results?search_query=%E6%88%91%E5%80%91%E5%AE%B6%E7%9A%84%E7%A7%91%E6%8A%80%E5%85%AC%E7%B4%84+%E5%85%B1%E5%90%8C%E5%BB%BA%E7%AB%8B%E4%BD%BF%E7%94%A8%E6%99%82%E9%96%93%E3%80%81%E4%BB%98%E8%B2%BB%E3%80%81%E9%9A%B1%E7%A7%81%E3%80%81AI+%E4%BD%9C%E6%A5%AD%E8%88%87%E6%B1%82%E5%8A%A9%E8%A6%8F%E5%89%87+hands+on+project+for+kids+Mac+digital+literacy+internet+safety</x:v>
      </x:c>
      <x:c r="J42" s="38" t="str">
        <x:v>課中實作參考</x:v>
      </x:c>
      <x:c r="K42" s="38" t="str">
        <x:v>8–20 分鐘</x:v>
      </x:c>
      <x:c r="L42" s="38" t="str">
        <x:v>優先找有畫面操作、步驟清楚、可暫停跟做的版本</x:v>
      </x:c>
      <x:c r="M42" s="38" t="str">
        <x:v>□ 未挑選</x:v>
      </x:c>
      <x:c r="N42" s="38" t="str"/>
      <x:c r="O42" s="38" t="str"/>
    </x:row>
    <x:row r="43">
      <x:c r="A43" s="38" t="n">
        <x:v>14</x:v>
      </x:c>
      <x:c r="B43" s="38" t="str">
        <x:v>第 1 年</x:v>
      </x:c>
      <x:c r="C43" s="38" t="str">
        <x:v>M01 數位探險家：Mac、網路、AI 與安全</x:v>
      </x:c>
      <x:c r="D43" s="38" t="n">
        <x:v>14</x:v>
      </x:c>
      <x:c r="E43" s="38" t="str">
        <x:v>我們家的科技公約</x:v>
      </x:c>
      <x:c r="F43" s="38" t="n">
        <x:v>3</x:v>
      </x:c>
      <x:c r="G43" s="38" t="str">
        <x:v>中文延伸／倫理安全</x:v>
      </x:c>
      <x:c r="H43" s="38" t="str">
        <x:v>我們家的科技公約 中文 教學 原理 安全 親子 Mac digital literacy internet safety</x:v>
      </x:c>
      <x:c r="I43" s="38" t="str">
        <x:v>https://www.youtube.com/results?search_query=%E6%88%91%E5%80%91%E5%AE%B6%E7%9A%84%E7%A7%91%E6%8A%80%E5%85%AC%E7%B4%84+%E4%B8%AD%E6%96%87+%E6%95%99%E5%AD%B8+%E5%8E%9F%E7%90%86+%E5%AE%89%E5%85%A8+%E8%A6%AA%E5%AD%90+Mac+digital+literacy+internet+safety</x:v>
      </x:c>
      <x:c r="J43" s="38" t="str">
        <x:v>課後延伸／親子討論</x:v>
      </x:c>
      <x:c r="K43" s="38" t="str">
        <x:v>6–15 分鐘</x:v>
      </x:c>
      <x:c r="L43" s="38" t="str">
        <x:v>補充應用、倫理、安全或真實案例；父子各說一個觀點</x:v>
      </x:c>
      <x:c r="M43" s="38" t="str">
        <x:v>□ 未挑選</x:v>
      </x:c>
      <x:c r="N43" s="38" t="str"/>
      <x:c r="O43" s="38" t="str"/>
    </x:row>
    <x:row r="44">
      <x:c r="A44" s="38" t="n">
        <x:v>15</x:v>
      </x:c>
      <x:c r="B44" s="38" t="str">
        <x:v>第 1 年</x:v>
      </x:c>
      <x:c r="C44" s="38" t="str">
        <x:v>M01 數位探險家：Mac、網路、AI 與安全</x:v>
      </x:c>
      <x:c r="D44" s="38" t="n">
        <x:v>15</x:v>
      </x:c>
      <x:c r="E44" s="38" t="str">
        <x:v>迷你專案：數位安全逃脫室</x:v>
      </x:c>
      <x:c r="F44" s="38" t="n">
        <x:v>1</x:v>
      </x:c>
      <x:c r="G44" s="38" t="str">
        <x:v>概念入門／官方優先</x:v>
      </x:c>
      <x:c r="H44" s="38" t="str">
        <x:v>迷你專案 數位安全逃脫室 Mac digital literacy internet safety beginner tutorial Apple</x:v>
      </x:c>
      <x:c r="I44" s="38" t="str">
        <x:v>https://www.youtube.com/results?search_query=%E8%BF%B7%E4%BD%A0%E5%B0%88%E6%A1%88+%E6%95%B8%E4%BD%8D%E5%AE%89%E5%85%A8%E9%80%83%E8%84%AB%E5%AE%A4+Mac+digital+literacy+internet+safety+beginner+tutorial+Apple</x:v>
      </x:c>
      <x:c r="J44" s="38" t="str">
        <x:v>課前暖身</x:v>
      </x:c>
      <x:c r="K44" s="38" t="str">
        <x:v>5–12 分鐘</x:v>
      </x:c>
      <x:c r="L44" s="38" t="str">
        <x:v>先建立直覺；看完能說出 3 個關鍵詞</x:v>
      </x:c>
      <x:c r="M44" s="38" t="str">
        <x:v>□ 未挑選</x:v>
      </x:c>
      <x:c r="N44" s="38" t="str"/>
      <x:c r="O44" s="38" t="str"/>
    </x:row>
    <x:row r="45">
      <x:c r="A45" s="38" t="n">
        <x:v>15</x:v>
      </x:c>
      <x:c r="B45" s="38" t="str">
        <x:v>第 1 年</x:v>
      </x:c>
      <x:c r="C45" s="38" t="str">
        <x:v>M01 數位探險家：Mac、網路、AI 與安全</x:v>
      </x:c>
      <x:c r="D45" s="38" t="n">
        <x:v>15</x:v>
      </x:c>
      <x:c r="E45" s="38" t="str">
        <x:v>迷你專案：數位安全逃脫室</x:v>
      </x:c>
      <x:c r="F45" s="38" t="n">
        <x:v>2</x:v>
      </x:c>
      <x:c r="G45" s="38" t="str">
        <x:v>跟做實作／專案導向</x:v>
      </x:c>
      <x:c r="H45" s="38" t="str">
        <x:v>迷你專案 數位安全逃脫室 整合搜尋、密碼、釣魚、個資與 AI 查核 hands on project for kids Mac digital literacy internet</x:v>
      </x:c>
      <x:c r="I45" s="38" t="str">
        <x:v>https://www.youtube.com/results?search_query=%E8%BF%B7%E4%BD%A0%E5%B0%88%E6%A1%88+%E6%95%B8%E4%BD%8D%E5%AE%89%E5%85%A8%E9%80%83%E8%84%AB%E5%AE%A4+%E6%95%B4%E5%90%88%E6%90%9C%E5%B0%8B%E3%80%81%E5%AF%86%E7%A2%BC%E3%80%81%E9%87%A3%E9%AD%9A%E3%80%81%E5%80%8B%E8%B3%87%E8%88%87+AI+%E6%9F%A5%E6%A0%B8+hands+on+project+for+kids+Mac+digital+literacy+internet+safety</x:v>
      </x:c>
      <x:c r="J45" s="38" t="str">
        <x:v>課中實作參考</x:v>
      </x:c>
      <x:c r="K45" s="38" t="str">
        <x:v>8–20 分鐘</x:v>
      </x:c>
      <x:c r="L45" s="38" t="str">
        <x:v>優先找有畫面操作、步驟清楚、可暫停跟做的版本</x:v>
      </x:c>
      <x:c r="M45" s="38" t="str">
        <x:v>□ 未挑選</x:v>
      </x:c>
      <x:c r="N45" s="38" t="str"/>
      <x:c r="O45" s="38" t="str"/>
    </x:row>
    <x:row r="46">
      <x:c r="A46" s="38" t="n">
        <x:v>15</x:v>
      </x:c>
      <x:c r="B46" s="38" t="str">
        <x:v>第 1 年</x:v>
      </x:c>
      <x:c r="C46" s="38" t="str">
        <x:v>M01 數位探險家：Mac、網路、AI 與安全</x:v>
      </x:c>
      <x:c r="D46" s="38" t="n">
        <x:v>15</x:v>
      </x:c>
      <x:c r="E46" s="38" t="str">
        <x:v>迷你專案：數位安全逃脫室</x:v>
      </x:c>
      <x:c r="F46" s="38" t="n">
        <x:v>3</x:v>
      </x:c>
      <x:c r="G46" s="38" t="str">
        <x:v>中文延伸／倫理安全</x:v>
      </x:c>
      <x:c r="H46" s="38" t="str">
        <x:v>迷你專案 數位安全逃脫室 中文 教學 原理 安全 親子 Mac digital literacy internet safety</x:v>
      </x:c>
      <x:c r="I46" s="38" t="str">
        <x:v>https://www.youtube.com/results?search_query=%E8%BF%B7%E4%BD%A0%E5%B0%88%E6%A1%88+%E6%95%B8%E4%BD%8D%E5%AE%89%E5%85%A8%E9%80%83%E8%84%AB%E5%AE%A4+%E4%B8%AD%E6%96%87+%E6%95%99%E5%AD%B8+%E5%8E%9F%E7%90%86+%E5%AE%89%E5%85%A8+%E8%A6%AA%E5%AD%90+Mac+digital+literacy+internet+safety</x:v>
      </x:c>
      <x:c r="J46" s="38" t="str">
        <x:v>課後延伸／親子討論</x:v>
      </x:c>
      <x:c r="K46" s="38" t="str">
        <x:v>6–15 分鐘</x:v>
      </x:c>
      <x:c r="L46" s="38" t="str">
        <x:v>補充應用、倫理、安全或真實案例；父子各說一個觀點</x:v>
      </x:c>
      <x:c r="M46" s="38" t="str">
        <x:v>□ 未挑選</x:v>
      </x:c>
      <x:c r="N46" s="38" t="str"/>
      <x:c r="O46" s="38" t="str"/>
    </x:row>
    <x:row r="47">
      <x:c r="A47" s="38" t="n">
        <x:v>16</x:v>
      </x:c>
      <x:c r="B47" s="38" t="str">
        <x:v>第 1 年</x:v>
      </x:c>
      <x:c r="C47" s="38" t="str">
        <x:v>M01 數位探險家：Mac、網路、AI 與安全</x:v>
      </x:c>
      <x:c r="D47" s="38" t="n">
        <x:v>16</x:v>
      </x:c>
      <x:c r="E47" s="38" t="str">
        <x:v>成果發表：我的數位公民手冊</x:v>
      </x:c>
      <x:c r="F47" s="38" t="n">
        <x:v>1</x:v>
      </x:c>
      <x:c r="G47" s="38" t="str">
        <x:v>概念入門／官方優先</x:v>
      </x:c>
      <x:c r="H47" s="38" t="str">
        <x:v>成果發表 我的數位公民手冊 Mac digital literacy internet safety beginner tutorial Apple</x:v>
      </x:c>
      <x:c r="I47" s="38" t="str">
        <x:v>https://www.youtube.com/results?search_query=%E6%88%90%E6%9E%9C%E7%99%BC%E8%A1%A8+%E6%88%91%E7%9A%84%E6%95%B8%E4%BD%8D%E5%85%AC%E6%B0%91%E6%89%8B%E5%86%8A+Mac+digital+literacy+internet+safety+beginner+tutorial+Apple</x:v>
      </x:c>
      <x:c r="J47" s="38" t="str">
        <x:v>課前暖身</x:v>
      </x:c>
      <x:c r="K47" s="38" t="str">
        <x:v>5–12 分鐘</x:v>
      </x:c>
      <x:c r="L47" s="38" t="str">
        <x:v>先建立直覺；看完能說出 3 個關鍵詞</x:v>
      </x:c>
      <x:c r="M47" s="38" t="str">
        <x:v>□ 未挑選</x:v>
      </x:c>
      <x:c r="N47" s="38" t="str"/>
      <x:c r="O47" s="38" t="str"/>
    </x:row>
    <x:row r="48">
      <x:c r="A48" s="38" t="n">
        <x:v>16</x:v>
      </x:c>
      <x:c r="B48" s="38" t="str">
        <x:v>第 1 年</x:v>
      </x:c>
      <x:c r="C48" s="38" t="str">
        <x:v>M01 數位探險家：Mac、網路、AI 與安全</x:v>
      </x:c>
      <x:c r="D48" s="38" t="n">
        <x:v>16</x:v>
      </x:c>
      <x:c r="E48" s="38" t="str">
        <x:v>成果發表：我的數位公民手冊</x:v>
      </x:c>
      <x:c r="F48" s="38" t="n">
        <x:v>2</x:v>
      </x:c>
      <x:c r="G48" s="38" t="str">
        <x:v>跟做實作／專案導向</x:v>
      </x:c>
      <x:c r="H48" s="38" t="str">
        <x:v>成果發表 我的數位公民手冊 練習整理、解說、示範、回饋與版本更新 hands on project for kids Mac digital literacy internet safety</x:v>
      </x:c>
      <x:c r="I48" s="38" t="str">
        <x:v>https://www.youtube.com/results?search_query=%E6%88%90%E6%9E%9C%E7%99%BC%E8%A1%A8+%E6%88%91%E7%9A%84%E6%95%B8%E4%BD%8D%E5%85%AC%E6%B0%91%E6%89%8B%E5%86%8A+%E7%B7%B4%E7%BF%92%E6%95%B4%E7%90%86%E3%80%81%E8%A7%A3%E8%AA%AA%E3%80%81%E7%A4%BA%E7%AF%84%E3%80%81%E5%9B%9E%E9%A5%8B%E8%88%87%E7%89%88%E6%9C%AC%E6%9B%B4%E6%96%B0+hands+on+project+for+kids+Mac+digital+literacy+internet+safety</x:v>
      </x:c>
      <x:c r="J48" s="38" t="str">
        <x:v>課中實作參考</x:v>
      </x:c>
      <x:c r="K48" s="38" t="str">
        <x:v>8–20 分鐘</x:v>
      </x:c>
      <x:c r="L48" s="38" t="str">
        <x:v>優先找有畫面操作、步驟清楚、可暫停跟做的版本</x:v>
      </x:c>
      <x:c r="M48" s="38" t="str">
        <x:v>□ 未挑選</x:v>
      </x:c>
      <x:c r="N48" s="38" t="str"/>
      <x:c r="O48" s="38" t="str"/>
    </x:row>
    <x:row r="49">
      <x:c r="A49" s="38" t="n">
        <x:v>16</x:v>
      </x:c>
      <x:c r="B49" s="38" t="str">
        <x:v>第 1 年</x:v>
      </x:c>
      <x:c r="C49" s="38" t="str">
        <x:v>M01 數位探險家：Mac、網路、AI 與安全</x:v>
      </x:c>
      <x:c r="D49" s="38" t="n">
        <x:v>16</x:v>
      </x:c>
      <x:c r="E49" s="38" t="str">
        <x:v>成果發表：我的數位公民手冊</x:v>
      </x:c>
      <x:c r="F49" s="38" t="n">
        <x:v>3</x:v>
      </x:c>
      <x:c r="G49" s="38" t="str">
        <x:v>中文延伸／倫理安全</x:v>
      </x:c>
      <x:c r="H49" s="38" t="str">
        <x:v>成果發表 我的數位公民手冊 中文 教學 原理 安全 親子 Mac digital literacy internet safety</x:v>
      </x:c>
      <x:c r="I49" s="38" t="str">
        <x:v>https://www.youtube.com/results?search_query=%E6%88%90%E6%9E%9C%E7%99%BC%E8%A1%A8+%E6%88%91%E7%9A%84%E6%95%B8%E4%BD%8D%E5%85%AC%E6%B0%91%E6%89%8B%E5%86%8A+%E4%B8%AD%E6%96%87+%E6%95%99%E5%AD%B8+%E5%8E%9F%E7%90%86+%E5%AE%89%E5%85%A8+%E8%A6%AA%E5%AD%90+Mac+digital+literacy+internet+safety</x:v>
      </x:c>
      <x:c r="J49" s="38" t="str">
        <x:v>課後延伸／親子討論</x:v>
      </x:c>
      <x:c r="K49" s="38" t="str">
        <x:v>6–15 分鐘</x:v>
      </x:c>
      <x:c r="L49" s="38" t="str">
        <x:v>補充應用、倫理、安全或真實案例；父子各說一個觀點</x:v>
      </x:c>
      <x:c r="M49" s="38" t="str">
        <x:v>□ 未挑選</x:v>
      </x:c>
      <x:c r="N49" s="38" t="str"/>
      <x:c r="O49" s="38" t="str"/>
    </x:row>
    <x:row r="50">
      <x:c r="A50" s="38" t="n">
        <x:v>17</x:v>
      </x:c>
      <x:c r="B50" s="38" t="str">
        <x:v>第 1 年</x:v>
      </x:c>
      <x:c r="C50" s="38" t="str">
        <x:v>M02 Scratch 創意遊戲與計算思維</x:v>
      </x:c>
      <x:c r="D50" s="38" t="n">
        <x:v>1</x:v>
      </x:c>
      <x:c r="E50" s="38" t="str">
        <x:v>角色真的動起來了</x:v>
      </x:c>
      <x:c r="F50" s="38" t="n">
        <x:v>1</x:v>
      </x:c>
      <x:c r="G50" s="38" t="str">
        <x:v>概念入門／官方優先</x:v>
      </x:c>
      <x:c r="H50" s="38" t="str">
        <x:v>角色真的動起來了 Scratch coding game animation beginner tutorial Scratch</x:v>
      </x:c>
      <x:c r="I50" s="38" t="str">
        <x:v>https://www.youtube.com/results?search_query=%E8%A7%92%E8%89%B2%E7%9C%9F%E7%9A%84%E5%8B%95%E8%B5%B7%E4%BE%86%E4%BA%86+Scratch+coding+game+animation+beginner+tutorial+Scratch</x:v>
      </x:c>
      <x:c r="J50" s="38" t="str">
        <x:v>課前暖身</x:v>
      </x:c>
      <x:c r="K50" s="38" t="str">
        <x:v>5–12 分鐘</x:v>
      </x:c>
      <x:c r="L50" s="38" t="str">
        <x:v>先建立直覺；看完能說出 3 個關鍵詞</x:v>
      </x:c>
      <x:c r="M50" s="38" t="str">
        <x:v>□ 未挑選</x:v>
      </x:c>
      <x:c r="N50" s="38" t="str"/>
      <x:c r="O50" s="38" t="str"/>
    </x:row>
    <x:row r="51">
      <x:c r="A51" s="38" t="n">
        <x:v>17</x:v>
      </x:c>
      <x:c r="B51" s="38" t="str">
        <x:v>第 1 年</x:v>
      </x:c>
      <x:c r="C51" s="38" t="str">
        <x:v>M02 Scratch 創意遊戲與計算思維</x:v>
      </x:c>
      <x:c r="D51" s="38" t="n">
        <x:v>1</x:v>
      </x:c>
      <x:c r="E51" s="38" t="str">
        <x:v>角色真的動起來了</x:v>
      </x:c>
      <x:c r="F51" s="38" t="n">
        <x:v>2</x:v>
      </x:c>
      <x:c r="G51" s="38" t="str">
        <x:v>跟做實作／專案導向</x:v>
      </x:c>
      <x:c r="H51" s="38" t="str">
        <x:v>角色真的動起來了 理解角色、舞台、座標、積木與順序執行 hands on project for kids Scratch coding game animation</x:v>
      </x:c>
      <x:c r="I51" s="38" t="str">
        <x:v>https://www.youtube.com/results?search_query=%E8%A7%92%E8%89%B2%E7%9C%9F%E7%9A%84%E5%8B%95%E8%B5%B7%E4%BE%86%E4%BA%86+%E7%90%86%E8%A7%A3%E8%A7%92%E8%89%B2%E3%80%81%E8%88%9E%E5%8F%B0%E3%80%81%E5%BA%A7%E6%A8%99%E3%80%81%E7%A9%8D%E6%9C%A8%E8%88%87%E9%A0%86%E5%BA%8F%E5%9F%B7%E8%A1%8C+hands+on+project+for+kids+Scratch+coding+game+animation</x:v>
      </x:c>
      <x:c r="J51" s="38" t="str">
        <x:v>課中實作參考</x:v>
      </x:c>
      <x:c r="K51" s="38" t="str">
        <x:v>8–20 分鐘</x:v>
      </x:c>
      <x:c r="L51" s="38" t="str">
        <x:v>優先找有畫面操作、步驟清楚、可暫停跟做的版本</x:v>
      </x:c>
      <x:c r="M51" s="38" t="str">
        <x:v>□ 未挑選</x:v>
      </x:c>
      <x:c r="N51" s="38" t="str"/>
      <x:c r="O51" s="38" t="str"/>
    </x:row>
    <x:row r="52">
      <x:c r="A52" s="38" t="n">
        <x:v>17</x:v>
      </x:c>
      <x:c r="B52" s="38" t="str">
        <x:v>第 1 年</x:v>
      </x:c>
      <x:c r="C52" s="38" t="str">
        <x:v>M02 Scratch 創意遊戲與計算思維</x:v>
      </x:c>
      <x:c r="D52" s="38" t="n">
        <x:v>1</x:v>
      </x:c>
      <x:c r="E52" s="38" t="str">
        <x:v>角色真的動起來了</x:v>
      </x:c>
      <x:c r="F52" s="38" t="n">
        <x:v>3</x:v>
      </x:c>
      <x:c r="G52" s="38" t="str">
        <x:v>中文延伸／倫理安全</x:v>
      </x:c>
      <x:c r="H52" s="38" t="str">
        <x:v>角色真的動起來了 中文 教學 原理 安全 親子 Scratch coding game animation</x:v>
      </x:c>
      <x:c r="I52" s="38" t="str">
        <x:v>https://www.youtube.com/results?search_query=%E8%A7%92%E8%89%B2%E7%9C%9F%E7%9A%84%E5%8B%95%E8%B5%B7%E4%BE%86%E4%BA%86+%E4%B8%AD%E6%96%87+%E6%95%99%E5%AD%B8+%E5%8E%9F%E7%90%86+%E5%AE%89%E5%85%A8+%E8%A6%AA%E5%AD%90+Scratch+coding+game+animation</x:v>
      </x:c>
      <x:c r="J52" s="38" t="str">
        <x:v>課後延伸／親子討論</x:v>
      </x:c>
      <x:c r="K52" s="38" t="str">
        <x:v>6–15 分鐘</x:v>
      </x:c>
      <x:c r="L52" s="38" t="str">
        <x:v>補充應用、倫理、安全或真實案例；父子各說一個觀點</x:v>
      </x:c>
      <x:c r="M52" s="38" t="str">
        <x:v>□ 未挑選</x:v>
      </x:c>
      <x:c r="N52" s="38" t="str"/>
      <x:c r="O52" s="38" t="str"/>
    </x:row>
    <x:row r="53">
      <x:c r="A53" s="38" t="n">
        <x:v>18</x:v>
      </x:c>
      <x:c r="B53" s="38" t="str">
        <x:v>第 1 年</x:v>
      </x:c>
      <x:c r="C53" s="38" t="str">
        <x:v>M02 Scratch 創意遊戲與計算思維</x:v>
      </x:c>
      <x:c r="D53" s="38" t="n">
        <x:v>2</x:v>
      </x:c>
      <x:c r="E53" s="38" t="str">
        <x:v>事件：誰先按下開始鍵</x:v>
      </x:c>
      <x:c r="F53" s="38" t="n">
        <x:v>1</x:v>
      </x:c>
      <x:c r="G53" s="38" t="str">
        <x:v>概念入門／官方優先</x:v>
      </x:c>
      <x:c r="H53" s="38" t="str">
        <x:v>事件 誰先按下開始鍵 Scratch coding game animation beginner tutorial Scratch</x:v>
      </x:c>
      <x:c r="I53" s="38" t="str">
        <x:v>https://www.youtube.com/results?search_query=%E4%BA%8B%E4%BB%B6+%E8%AA%B0%E5%85%88%E6%8C%89%E4%B8%8B%E9%96%8B%E5%A7%8B%E9%8D%B5+Scratch+coding+game+animation+beginner+tutorial+Scratch</x:v>
      </x:c>
      <x:c r="J53" s="38" t="str">
        <x:v>課前暖身</x:v>
      </x:c>
      <x:c r="K53" s="38" t="str">
        <x:v>5–12 分鐘</x:v>
      </x:c>
      <x:c r="L53" s="38" t="str">
        <x:v>先建立直覺；看完能說出 3 個關鍵詞</x:v>
      </x:c>
      <x:c r="M53" s="38" t="str">
        <x:v>□ 未挑選</x:v>
      </x:c>
      <x:c r="N53" s="38" t="str"/>
      <x:c r="O53" s="38" t="str"/>
    </x:row>
    <x:row r="54">
      <x:c r="A54" s="38" t="n">
        <x:v>18</x:v>
      </x:c>
      <x:c r="B54" s="38" t="str">
        <x:v>第 1 年</x:v>
      </x:c>
      <x:c r="C54" s="38" t="str">
        <x:v>M02 Scratch 創意遊戲與計算思維</x:v>
      </x:c>
      <x:c r="D54" s="38" t="n">
        <x:v>2</x:v>
      </x:c>
      <x:c r="E54" s="38" t="str">
        <x:v>事件：誰先按下開始鍵</x:v>
      </x:c>
      <x:c r="F54" s="38" t="n">
        <x:v>2</x:v>
      </x:c>
      <x:c r="G54" s="38" t="str">
        <x:v>跟做實作／專案導向</x:v>
      </x:c>
      <x:c r="H54" s="38" t="str">
        <x:v>事件 誰先按下開始鍵 理解綠旗、按鍵、點擊與事件驅動 hands on project for kids Scratch coding game animation</x:v>
      </x:c>
      <x:c r="I54" s="38" t="str">
        <x:v>https://www.youtube.com/results?search_query=%E4%BA%8B%E4%BB%B6+%E8%AA%B0%E5%85%88%E6%8C%89%E4%B8%8B%E9%96%8B%E5%A7%8B%E9%8D%B5+%E7%90%86%E8%A7%A3%E7%B6%A0%E6%97%97%E3%80%81%E6%8C%89%E9%8D%B5%E3%80%81%E9%BB%9E%E6%93%8A%E8%88%87%E4%BA%8B%E4%BB%B6%E9%A9%85%E5%8B%95+hands+on+project+for+kids+Scratch+coding+game+animation</x:v>
      </x:c>
      <x:c r="J54" s="38" t="str">
        <x:v>課中實作參考</x:v>
      </x:c>
      <x:c r="K54" s="38" t="str">
        <x:v>8–20 分鐘</x:v>
      </x:c>
      <x:c r="L54" s="38" t="str">
        <x:v>優先找有畫面操作、步驟清楚、可暫停跟做的版本</x:v>
      </x:c>
      <x:c r="M54" s="38" t="str">
        <x:v>□ 未挑選</x:v>
      </x:c>
      <x:c r="N54" s="38" t="str"/>
      <x:c r="O54" s="38" t="str"/>
    </x:row>
    <x:row r="55">
      <x:c r="A55" s="38" t="n">
        <x:v>18</x:v>
      </x:c>
      <x:c r="B55" s="38" t="str">
        <x:v>第 1 年</x:v>
      </x:c>
      <x:c r="C55" s="38" t="str">
        <x:v>M02 Scratch 創意遊戲與計算思維</x:v>
      </x:c>
      <x:c r="D55" s="38" t="n">
        <x:v>2</x:v>
      </x:c>
      <x:c r="E55" s="38" t="str">
        <x:v>事件：誰先按下開始鍵</x:v>
      </x:c>
      <x:c r="F55" s="38" t="n">
        <x:v>3</x:v>
      </x:c>
      <x:c r="G55" s="38" t="str">
        <x:v>中文延伸／倫理安全</x:v>
      </x:c>
      <x:c r="H55" s="38" t="str">
        <x:v>事件 誰先按下開始鍵 中文 教學 原理 安全 親子 Scratch coding game animation</x:v>
      </x:c>
      <x:c r="I55" s="38" t="str">
        <x:v>https://www.youtube.com/results?search_query=%E4%BA%8B%E4%BB%B6+%E8%AA%B0%E5%85%88%E6%8C%89%E4%B8%8B%E9%96%8B%E5%A7%8B%E9%8D%B5+%E4%B8%AD%E6%96%87+%E6%95%99%E5%AD%B8+%E5%8E%9F%E7%90%86+%E5%AE%89%E5%85%A8+%E8%A6%AA%E5%AD%90+Scratch+coding+game+animation</x:v>
      </x:c>
      <x:c r="J55" s="38" t="str">
        <x:v>課後延伸／親子討論</x:v>
      </x:c>
      <x:c r="K55" s="38" t="str">
        <x:v>6–15 分鐘</x:v>
      </x:c>
      <x:c r="L55" s="38" t="str">
        <x:v>補充應用、倫理、安全或真實案例；父子各說一個觀點</x:v>
      </x:c>
      <x:c r="M55" s="38" t="str">
        <x:v>□ 未挑選</x:v>
      </x:c>
      <x:c r="N55" s="38" t="str"/>
      <x:c r="O55" s="38" t="str"/>
    </x:row>
    <x:row r="56">
      <x:c r="A56" s="38" t="n">
        <x:v>19</x:v>
      </x:c>
      <x:c r="B56" s="38" t="str">
        <x:v>第 1 年</x:v>
      </x:c>
      <x:c r="C56" s="38" t="str">
        <x:v>M02 Scratch 創意遊戲與計算思維</x:v>
      </x:c>
      <x:c r="D56" s="38" t="n">
        <x:v>3</x:v>
      </x:c>
      <x:c r="E56" s="38" t="str">
        <x:v>迴圈舞蹈機器人</x:v>
      </x:c>
      <x:c r="F56" s="38" t="n">
        <x:v>1</x:v>
      </x:c>
      <x:c r="G56" s="38" t="str">
        <x:v>概念入門／官方優先</x:v>
      </x:c>
      <x:c r="H56" s="38" t="str">
        <x:v>迴圈舞蹈機器人 Scratch coding game animation beginner tutorial Scratch</x:v>
      </x:c>
      <x:c r="I56" s="38" t="str">
        <x:v>https://www.youtube.com/results?search_query=%E8%BF%B4%E5%9C%88%E8%88%9E%E8%B9%88%E6%A9%9F%E5%99%A8%E4%BA%BA+Scratch+coding+game+animation+beginner+tutorial+Scratch</x:v>
      </x:c>
      <x:c r="J56" s="38" t="str">
        <x:v>課前暖身</x:v>
      </x:c>
      <x:c r="K56" s="38" t="str">
        <x:v>5–12 分鐘</x:v>
      </x:c>
      <x:c r="L56" s="38" t="str">
        <x:v>先建立直覺；看完能說出 3 個關鍵詞</x:v>
      </x:c>
      <x:c r="M56" s="38" t="str">
        <x:v>□ 未挑選</x:v>
      </x:c>
      <x:c r="N56" s="38" t="str"/>
      <x:c r="O56" s="38" t="str"/>
    </x:row>
    <x:row r="57">
      <x:c r="A57" s="38" t="n">
        <x:v>19</x:v>
      </x:c>
      <x:c r="B57" s="38" t="str">
        <x:v>第 1 年</x:v>
      </x:c>
      <x:c r="C57" s="38" t="str">
        <x:v>M02 Scratch 創意遊戲與計算思維</x:v>
      </x:c>
      <x:c r="D57" s="38" t="n">
        <x:v>3</x:v>
      </x:c>
      <x:c r="E57" s="38" t="str">
        <x:v>迴圈舞蹈機器人</x:v>
      </x:c>
      <x:c r="F57" s="38" t="n">
        <x:v>2</x:v>
      </x:c>
      <x:c r="G57" s="38" t="str">
        <x:v>跟做實作／專案導向</x:v>
      </x:c>
      <x:c r="H57" s="38" t="str">
        <x:v>迴圈舞蹈機器人 用 repeat/forever 減少重複並創造節奏 hands on project for kids Scratch coding game animation</x:v>
      </x:c>
      <x:c r="I57" s="38" t="str">
        <x:v>https://www.youtube.com/results?search_query=%E8%BF%B4%E5%9C%88%E8%88%9E%E8%B9%88%E6%A9%9F%E5%99%A8%E4%BA%BA+%E7%94%A8+repeat%2Fforever+%E6%B8%9B%E5%B0%91%E9%87%8D%E8%A4%87%E4%B8%A6%E5%89%B5%E9%80%A0%E7%AF%80%E5%A5%8F+hands+on+project+for+kids+Scratch+coding+game+animation</x:v>
      </x:c>
      <x:c r="J57" s="38" t="str">
        <x:v>課中實作參考</x:v>
      </x:c>
      <x:c r="K57" s="38" t="str">
        <x:v>8–20 分鐘</x:v>
      </x:c>
      <x:c r="L57" s="38" t="str">
        <x:v>優先找有畫面操作、步驟清楚、可暫停跟做的版本</x:v>
      </x:c>
      <x:c r="M57" s="38" t="str">
        <x:v>□ 未挑選</x:v>
      </x:c>
      <x:c r="N57" s="38" t="str"/>
      <x:c r="O57" s="38" t="str"/>
    </x:row>
    <x:row r="58">
      <x:c r="A58" s="38" t="n">
        <x:v>19</x:v>
      </x:c>
      <x:c r="B58" s="38" t="str">
        <x:v>第 1 年</x:v>
      </x:c>
      <x:c r="C58" s="38" t="str">
        <x:v>M02 Scratch 創意遊戲與計算思維</x:v>
      </x:c>
      <x:c r="D58" s="38" t="n">
        <x:v>3</x:v>
      </x:c>
      <x:c r="E58" s="38" t="str">
        <x:v>迴圈舞蹈機器人</x:v>
      </x:c>
      <x:c r="F58" s="38" t="n">
        <x:v>3</x:v>
      </x:c>
      <x:c r="G58" s="38" t="str">
        <x:v>中文延伸／倫理安全</x:v>
      </x:c>
      <x:c r="H58" s="38" t="str">
        <x:v>迴圈舞蹈機器人 中文 教學 原理 安全 親子 Scratch coding game animation</x:v>
      </x:c>
      <x:c r="I58" s="38" t="str">
        <x:v>https://www.youtube.com/results?search_query=%E8%BF%B4%E5%9C%88%E8%88%9E%E8%B9%88%E6%A9%9F%E5%99%A8%E4%BA%BA+%E4%B8%AD%E6%96%87+%E6%95%99%E5%AD%B8+%E5%8E%9F%E7%90%86+%E5%AE%89%E5%85%A8+%E8%A6%AA%E5%AD%90+Scratch+coding+game+animation</x:v>
      </x:c>
      <x:c r="J58" s="38" t="str">
        <x:v>課後延伸／親子討論</x:v>
      </x:c>
      <x:c r="K58" s="38" t="str">
        <x:v>6–15 分鐘</x:v>
      </x:c>
      <x:c r="L58" s="38" t="str">
        <x:v>補充應用、倫理、安全或真實案例；父子各說一個觀點</x:v>
      </x:c>
      <x:c r="M58" s="38" t="str">
        <x:v>□ 未挑選</x:v>
      </x:c>
      <x:c r="N58" s="38" t="str"/>
      <x:c r="O58" s="38" t="str"/>
    </x:row>
    <x:row r="59">
      <x:c r="A59" s="38" t="n">
        <x:v>20</x:v>
      </x:c>
      <x:c r="B59" s="38" t="str">
        <x:v>第 1 年</x:v>
      </x:c>
      <x:c r="C59" s="38" t="str">
        <x:v>M02 Scratch 創意遊戲與計算思維</x:v>
      </x:c>
      <x:c r="D59" s="38" t="n">
        <x:v>4</x:v>
      </x:c>
      <x:c r="E59" s="38" t="str">
        <x:v>條件判斷迷宮</x:v>
      </x:c>
      <x:c r="F59" s="38" t="n">
        <x:v>1</x:v>
      </x:c>
      <x:c r="G59" s="38" t="str">
        <x:v>概念入門／官方優先</x:v>
      </x:c>
      <x:c r="H59" s="38" t="str">
        <x:v>條件判斷迷宮 Scratch coding game animation beginner tutorial Scratch</x:v>
      </x:c>
      <x:c r="I59" s="38" t="str">
        <x:v>https://www.youtube.com/results?search_query=%E6%A2%9D%E4%BB%B6%E5%88%A4%E6%96%B7%E8%BF%B7%E5%AE%AE+Scratch+coding+game+animation+beginner+tutorial+Scratch</x:v>
      </x:c>
      <x:c r="J59" s="38" t="str">
        <x:v>課前暖身</x:v>
      </x:c>
      <x:c r="K59" s="38" t="str">
        <x:v>5–12 分鐘</x:v>
      </x:c>
      <x:c r="L59" s="38" t="str">
        <x:v>先建立直覺；看完能說出 3 個關鍵詞</x:v>
      </x:c>
      <x:c r="M59" s="38" t="str">
        <x:v>□ 未挑選</x:v>
      </x:c>
      <x:c r="N59" s="38" t="str"/>
      <x:c r="O59" s="38" t="str"/>
    </x:row>
    <x:row r="60">
      <x:c r="A60" s="38" t="n">
        <x:v>20</x:v>
      </x:c>
      <x:c r="B60" s="38" t="str">
        <x:v>第 1 年</x:v>
      </x:c>
      <x:c r="C60" s="38" t="str">
        <x:v>M02 Scratch 創意遊戲與計算思維</x:v>
      </x:c>
      <x:c r="D60" s="38" t="n">
        <x:v>4</x:v>
      </x:c>
      <x:c r="E60" s="38" t="str">
        <x:v>條件判斷迷宮</x:v>
      </x:c>
      <x:c r="F60" s="38" t="n">
        <x:v>2</x:v>
      </x:c>
      <x:c r="G60" s="38" t="str">
        <x:v>跟做實作／專案導向</x:v>
      </x:c>
      <x:c r="H60" s="38" t="str">
        <x:v>條件判斷迷宮 理解 if、if/else 與感測條件 hands on project for kids Scratch coding game animation</x:v>
      </x:c>
      <x:c r="I60" s="38" t="str">
        <x:v>https://www.youtube.com/results?search_query=%E6%A2%9D%E4%BB%B6%E5%88%A4%E6%96%B7%E8%BF%B7%E5%AE%AE+%E7%90%86%E8%A7%A3+if%E3%80%81if%2Felse+%E8%88%87%E6%84%9F%E6%B8%AC%E6%A2%9D%E4%BB%B6+hands+on+project+for+kids+Scratch+coding+game+animation</x:v>
      </x:c>
      <x:c r="J60" s="38" t="str">
        <x:v>課中實作參考</x:v>
      </x:c>
      <x:c r="K60" s="38" t="str">
        <x:v>8–20 分鐘</x:v>
      </x:c>
      <x:c r="L60" s="38" t="str">
        <x:v>優先找有畫面操作、步驟清楚、可暫停跟做的版本</x:v>
      </x:c>
      <x:c r="M60" s="38" t="str">
        <x:v>□ 未挑選</x:v>
      </x:c>
      <x:c r="N60" s="38" t="str"/>
      <x:c r="O60" s="38" t="str"/>
    </x:row>
    <x:row r="61">
      <x:c r="A61" s="38" t="n">
        <x:v>20</x:v>
      </x:c>
      <x:c r="B61" s="38" t="str">
        <x:v>第 1 年</x:v>
      </x:c>
      <x:c r="C61" s="38" t="str">
        <x:v>M02 Scratch 創意遊戲與計算思維</x:v>
      </x:c>
      <x:c r="D61" s="38" t="n">
        <x:v>4</x:v>
      </x:c>
      <x:c r="E61" s="38" t="str">
        <x:v>條件判斷迷宮</x:v>
      </x:c>
      <x:c r="F61" s="38" t="n">
        <x:v>3</x:v>
      </x:c>
      <x:c r="G61" s="38" t="str">
        <x:v>中文延伸／倫理安全</x:v>
      </x:c>
      <x:c r="H61" s="38" t="str">
        <x:v>條件判斷迷宮 中文 教學 原理 安全 親子 Scratch coding game animation</x:v>
      </x:c>
      <x:c r="I61" s="38" t="str">
        <x:v>https://www.youtube.com/results?search_query=%E6%A2%9D%E4%BB%B6%E5%88%A4%E6%96%B7%E8%BF%B7%E5%AE%AE+%E4%B8%AD%E6%96%87+%E6%95%99%E5%AD%B8+%E5%8E%9F%E7%90%86+%E5%AE%89%E5%85%A8+%E8%A6%AA%E5%AD%90+Scratch+coding+game+animation</x:v>
      </x:c>
      <x:c r="J61" s="38" t="str">
        <x:v>課後延伸／親子討論</x:v>
      </x:c>
      <x:c r="K61" s="38" t="str">
        <x:v>6–15 分鐘</x:v>
      </x:c>
      <x:c r="L61" s="38" t="str">
        <x:v>補充應用、倫理、安全或真實案例；父子各說一個觀點</x:v>
      </x:c>
      <x:c r="M61" s="38" t="str">
        <x:v>□ 未挑選</x:v>
      </x:c>
      <x:c r="N61" s="38" t="str"/>
      <x:c r="O61" s="38" t="str"/>
    </x:row>
    <x:row r="62">
      <x:c r="A62" s="38" t="n">
        <x:v>21</x:v>
      </x:c>
      <x:c r="B62" s="38" t="str">
        <x:v>第 1 年</x:v>
      </x:c>
      <x:c r="C62" s="38" t="str">
        <x:v>M02 Scratch 創意遊戲與計算思維</x:v>
      </x:c>
      <x:c r="D62" s="38" t="n">
        <x:v>5</x:v>
      </x:c>
      <x:c r="E62" s="38" t="str">
        <x:v>變數：分數、血量與時間</x:v>
      </x:c>
      <x:c r="F62" s="38" t="n">
        <x:v>1</x:v>
      </x:c>
      <x:c r="G62" s="38" t="str">
        <x:v>概念入門／官方優先</x:v>
      </x:c>
      <x:c r="H62" s="38" t="str">
        <x:v>變數 分數、血量與時間 Scratch coding game animation beginner tutorial Scratch</x:v>
      </x:c>
      <x:c r="I62" s="38" t="str">
        <x:v>https://www.youtube.com/results?search_query=%E8%AE%8A%E6%95%B8+%E5%88%86%E6%95%B8%E3%80%81%E8%A1%80%E9%87%8F%E8%88%87%E6%99%82%E9%96%93+Scratch+coding+game+animation+beginner+tutorial+Scratch</x:v>
      </x:c>
      <x:c r="J62" s="38" t="str">
        <x:v>課前暖身</x:v>
      </x:c>
      <x:c r="K62" s="38" t="str">
        <x:v>5–12 分鐘</x:v>
      </x:c>
      <x:c r="L62" s="38" t="str">
        <x:v>先建立直覺；看完能說出 3 個關鍵詞</x:v>
      </x:c>
      <x:c r="M62" s="38" t="str">
        <x:v>□ 未挑選</x:v>
      </x:c>
      <x:c r="N62" s="38" t="str"/>
      <x:c r="O62" s="38" t="str"/>
    </x:row>
    <x:row r="63">
      <x:c r="A63" s="38" t="n">
        <x:v>21</x:v>
      </x:c>
      <x:c r="B63" s="38" t="str">
        <x:v>第 1 年</x:v>
      </x:c>
      <x:c r="C63" s="38" t="str">
        <x:v>M02 Scratch 創意遊戲與計算思維</x:v>
      </x:c>
      <x:c r="D63" s="38" t="n">
        <x:v>5</x:v>
      </x:c>
      <x:c r="E63" s="38" t="str">
        <x:v>變數：分數、血量與時間</x:v>
      </x:c>
      <x:c r="F63" s="38" t="n">
        <x:v>2</x:v>
      </x:c>
      <x:c r="G63" s="38" t="str">
        <x:v>跟做實作／專案導向</x:v>
      </x:c>
      <x:c r="H63" s="38" t="str">
        <x:v>變數 分數、血量與時間 用變數保存遊戲狀態 hands on project for kids Scratch coding game animation</x:v>
      </x:c>
      <x:c r="I63" s="38" t="str">
        <x:v>https://www.youtube.com/results?search_query=%E8%AE%8A%E6%95%B8+%E5%88%86%E6%95%B8%E3%80%81%E8%A1%80%E9%87%8F%E8%88%87%E6%99%82%E9%96%93+%E7%94%A8%E8%AE%8A%E6%95%B8%E4%BF%9D%E5%AD%98%E9%81%8A%E6%88%B2%E7%8B%80%E6%85%8B+hands+on+project+for+kids+Scratch+coding+game+animation</x:v>
      </x:c>
      <x:c r="J63" s="38" t="str">
        <x:v>課中實作參考</x:v>
      </x:c>
      <x:c r="K63" s="38" t="str">
        <x:v>8–20 分鐘</x:v>
      </x:c>
      <x:c r="L63" s="38" t="str">
        <x:v>優先找有畫面操作、步驟清楚、可暫停跟做的版本</x:v>
      </x:c>
      <x:c r="M63" s="38" t="str">
        <x:v>□ 未挑選</x:v>
      </x:c>
      <x:c r="N63" s="38" t="str"/>
      <x:c r="O63" s="38" t="str"/>
    </x:row>
    <x:row r="64">
      <x:c r="A64" s="38" t="n">
        <x:v>21</x:v>
      </x:c>
      <x:c r="B64" s="38" t="str">
        <x:v>第 1 年</x:v>
      </x:c>
      <x:c r="C64" s="38" t="str">
        <x:v>M02 Scratch 創意遊戲與計算思維</x:v>
      </x:c>
      <x:c r="D64" s="38" t="n">
        <x:v>5</x:v>
      </x:c>
      <x:c r="E64" s="38" t="str">
        <x:v>變數：分數、血量與時間</x:v>
      </x:c>
      <x:c r="F64" s="38" t="n">
        <x:v>3</x:v>
      </x:c>
      <x:c r="G64" s="38" t="str">
        <x:v>中文延伸／倫理安全</x:v>
      </x:c>
      <x:c r="H64" s="38" t="str">
        <x:v>變數 分數、血量與時間 中文 教學 原理 安全 親子 Scratch coding game animation</x:v>
      </x:c>
      <x:c r="I64" s="38" t="str">
        <x:v>https://www.youtube.com/results?search_query=%E8%AE%8A%E6%95%B8+%E5%88%86%E6%95%B8%E3%80%81%E8%A1%80%E9%87%8F%E8%88%87%E6%99%82%E9%96%93+%E4%B8%AD%E6%96%87+%E6%95%99%E5%AD%B8+%E5%8E%9F%E7%90%86+%E5%AE%89%E5%85%A8+%E8%A6%AA%E5%AD%90+Scratch+coding+game+animation</x:v>
      </x:c>
      <x:c r="J64" s="38" t="str">
        <x:v>課後延伸／親子討論</x:v>
      </x:c>
      <x:c r="K64" s="38" t="str">
        <x:v>6–15 分鐘</x:v>
      </x:c>
      <x:c r="L64" s="38" t="str">
        <x:v>補充應用、倫理、安全或真實案例；父子各說一個觀點</x:v>
      </x:c>
      <x:c r="M64" s="38" t="str">
        <x:v>□ 未挑選</x:v>
      </x:c>
      <x:c r="N64" s="38" t="str"/>
      <x:c r="O64" s="38" t="str"/>
    </x:row>
    <x:row r="65">
      <x:c r="A65" s="38" t="n">
        <x:v>22</x:v>
      </x:c>
      <x:c r="B65" s="38" t="str">
        <x:v>第 1 年</x:v>
      </x:c>
      <x:c r="C65" s="38" t="str">
        <x:v>M02 Scratch 創意遊戲與計算思維</x:v>
      </x:c>
      <x:c r="D65" s="38" t="n">
        <x:v>6</x:v>
      </x:c>
      <x:c r="E65" s="38" t="str">
        <x:v>隨機數與機率怪獸</x:v>
      </x:c>
      <x:c r="F65" s="38" t="n">
        <x:v>1</x:v>
      </x:c>
      <x:c r="G65" s="38" t="str">
        <x:v>概念入門／官方優先</x:v>
      </x:c>
      <x:c r="H65" s="38" t="str">
        <x:v>隨機數與機率怪獸 Scratch coding game animation beginner tutorial Scratch</x:v>
      </x:c>
      <x:c r="I65" s="38" t="str">
        <x:v>https://www.youtube.com/results?search_query=%E9%9A%A8%E6%A9%9F%E6%95%B8%E8%88%87%E6%A9%9F%E7%8E%87%E6%80%AA%E7%8D%B8+Scratch+coding+game+animation+beginner+tutorial+Scratch</x:v>
      </x:c>
      <x:c r="J65" s="38" t="str">
        <x:v>課前暖身</x:v>
      </x:c>
      <x:c r="K65" s="38" t="str">
        <x:v>5–12 分鐘</x:v>
      </x:c>
      <x:c r="L65" s="38" t="str">
        <x:v>先建立直覺；看完能說出 3 個關鍵詞</x:v>
      </x:c>
      <x:c r="M65" s="38" t="str">
        <x:v>□ 未挑選</x:v>
      </x:c>
      <x:c r="N65" s="38" t="str"/>
      <x:c r="O65" s="38" t="str"/>
    </x:row>
    <x:row r="66">
      <x:c r="A66" s="38" t="n">
        <x:v>22</x:v>
      </x:c>
      <x:c r="B66" s="38" t="str">
        <x:v>第 1 年</x:v>
      </x:c>
      <x:c r="C66" s="38" t="str">
        <x:v>M02 Scratch 創意遊戲與計算思維</x:v>
      </x:c>
      <x:c r="D66" s="38" t="n">
        <x:v>6</x:v>
      </x:c>
      <x:c r="E66" s="38" t="str">
        <x:v>隨機數與機率怪獸</x:v>
      </x:c>
      <x:c r="F66" s="38" t="n">
        <x:v>2</x:v>
      </x:c>
      <x:c r="G66" s="38" t="str">
        <x:v>跟做實作／專案導向</x:v>
      </x:c>
      <x:c r="H66" s="38" t="str">
        <x:v>隨機數與機率怪獸 理解隨機帶來的不可預測性與機率 hands on project for kids Scratch coding game animation</x:v>
      </x:c>
      <x:c r="I66" s="38" t="str">
        <x:v>https://www.youtube.com/results?search_query=%E9%9A%A8%E6%A9%9F%E6%95%B8%E8%88%87%E6%A9%9F%E7%8E%87%E6%80%AA%E7%8D%B8+%E7%90%86%E8%A7%A3%E9%9A%A8%E6%A9%9F%E5%B8%B6%E4%BE%86%E7%9A%84%E4%B8%8D%E5%8F%AF%E9%A0%90%E6%B8%AC%E6%80%A7%E8%88%87%E6%A9%9F%E7%8E%87+hands+on+project+for+kids+Scratch+coding+game+animation</x:v>
      </x:c>
      <x:c r="J66" s="38" t="str">
        <x:v>課中實作參考</x:v>
      </x:c>
      <x:c r="K66" s="38" t="str">
        <x:v>8–20 分鐘</x:v>
      </x:c>
      <x:c r="L66" s="38" t="str">
        <x:v>優先找有畫面操作、步驟清楚、可暫停跟做的版本</x:v>
      </x:c>
      <x:c r="M66" s="38" t="str">
        <x:v>□ 未挑選</x:v>
      </x:c>
      <x:c r="N66" s="38" t="str"/>
      <x:c r="O66" s="38" t="str"/>
    </x:row>
    <x:row r="67">
      <x:c r="A67" s="38" t="n">
        <x:v>22</x:v>
      </x:c>
      <x:c r="B67" s="38" t="str">
        <x:v>第 1 年</x:v>
      </x:c>
      <x:c r="C67" s="38" t="str">
        <x:v>M02 Scratch 創意遊戲與計算思維</x:v>
      </x:c>
      <x:c r="D67" s="38" t="n">
        <x:v>6</x:v>
      </x:c>
      <x:c r="E67" s="38" t="str">
        <x:v>隨機數與機率怪獸</x:v>
      </x:c>
      <x:c r="F67" s="38" t="n">
        <x:v>3</x:v>
      </x:c>
      <x:c r="G67" s="38" t="str">
        <x:v>中文延伸／倫理安全</x:v>
      </x:c>
      <x:c r="H67" s="38" t="str">
        <x:v>隨機數與機率怪獸 中文 教學 原理 安全 親子 Scratch coding game animation</x:v>
      </x:c>
      <x:c r="I67" s="38" t="str">
        <x:v>https://www.youtube.com/results?search_query=%E9%9A%A8%E6%A9%9F%E6%95%B8%E8%88%87%E6%A9%9F%E7%8E%87%E6%80%AA%E7%8D%B8+%E4%B8%AD%E6%96%87+%E6%95%99%E5%AD%B8+%E5%8E%9F%E7%90%86+%E5%AE%89%E5%85%A8+%E8%A6%AA%E5%AD%90+Scratch+coding+game+animation</x:v>
      </x:c>
      <x:c r="J67" s="38" t="str">
        <x:v>課後延伸／親子討論</x:v>
      </x:c>
      <x:c r="K67" s="38" t="str">
        <x:v>6–15 分鐘</x:v>
      </x:c>
      <x:c r="L67" s="38" t="str">
        <x:v>補充應用、倫理、安全或真實案例；父子各說一個觀點</x:v>
      </x:c>
      <x:c r="M67" s="38" t="str">
        <x:v>□ 未挑選</x:v>
      </x:c>
      <x:c r="N67" s="38" t="str"/>
      <x:c r="O67" s="38" t="str"/>
    </x:row>
    <x:row r="68">
      <x:c r="A68" s="38" t="n">
        <x:v>23</x:v>
      </x:c>
      <x:c r="B68" s="38" t="str">
        <x:v>第 1 年</x:v>
      </x:c>
      <x:c r="C68" s="38" t="str">
        <x:v>M02 Scratch 創意遊戲與計算思維</x:v>
      </x:c>
      <x:c r="D68" s="38" t="n">
        <x:v>7</x:v>
      </x:c>
      <x:c r="E68" s="38" t="str">
        <x:v>廣播訊息：角色怎麼合作</x:v>
      </x:c>
      <x:c r="F68" s="38" t="n">
        <x:v>1</x:v>
      </x:c>
      <x:c r="G68" s="38" t="str">
        <x:v>概念入門／官方優先</x:v>
      </x:c>
      <x:c r="H68" s="38" t="str">
        <x:v>廣播訊息 角色怎麼合作 Scratch coding game animation beginner tutorial Scratch</x:v>
      </x:c>
      <x:c r="I68" s="38" t="str">
        <x:v>https://www.youtube.com/results?search_query=%E5%BB%A3%E6%92%AD%E8%A8%8A%E6%81%AF+%E8%A7%92%E8%89%B2%E6%80%8E%E9%BA%BC%E5%90%88%E4%BD%9C+Scratch+coding+game+animation+beginner+tutorial+Scratch</x:v>
      </x:c>
      <x:c r="J68" s="38" t="str">
        <x:v>課前暖身</x:v>
      </x:c>
      <x:c r="K68" s="38" t="str">
        <x:v>5–12 分鐘</x:v>
      </x:c>
      <x:c r="L68" s="38" t="str">
        <x:v>先建立直覺；看完能說出 3 個關鍵詞</x:v>
      </x:c>
      <x:c r="M68" s="38" t="str">
        <x:v>□ 未挑選</x:v>
      </x:c>
      <x:c r="N68" s="38" t="str"/>
      <x:c r="O68" s="38" t="str"/>
    </x:row>
    <x:row r="69">
      <x:c r="A69" s="38" t="n">
        <x:v>23</x:v>
      </x:c>
      <x:c r="B69" s="38" t="str">
        <x:v>第 1 年</x:v>
      </x:c>
      <x:c r="C69" s="38" t="str">
        <x:v>M02 Scratch 創意遊戲與計算思維</x:v>
      </x:c>
      <x:c r="D69" s="38" t="n">
        <x:v>7</x:v>
      </x:c>
      <x:c r="E69" s="38" t="str">
        <x:v>廣播訊息：角色怎麼合作</x:v>
      </x:c>
      <x:c r="F69" s="38" t="n">
        <x:v>2</x:v>
      </x:c>
      <x:c r="G69" s="38" t="str">
        <x:v>跟做實作／專案導向</x:v>
      </x:c>
      <x:c r="H69" s="38" t="str">
        <x:v>廣播訊息 角色怎麼合作 用 broadcast 解耦多角色流程 hands on project for kids Scratch coding game animation</x:v>
      </x:c>
      <x:c r="I69" s="38" t="str">
        <x:v>https://www.youtube.com/results?search_query=%E5%BB%A3%E6%92%AD%E8%A8%8A%E6%81%AF+%E8%A7%92%E8%89%B2%E6%80%8E%E9%BA%BC%E5%90%88%E4%BD%9C+%E7%94%A8+broadcast+%E8%A7%A3%E8%80%A6%E5%A4%9A%E8%A7%92%E8%89%B2%E6%B5%81%E7%A8%8B+hands+on+project+for+kids+Scratch+coding+game+animation</x:v>
      </x:c>
      <x:c r="J69" s="38" t="str">
        <x:v>課中實作參考</x:v>
      </x:c>
      <x:c r="K69" s="38" t="str">
        <x:v>8–20 分鐘</x:v>
      </x:c>
      <x:c r="L69" s="38" t="str">
        <x:v>優先找有畫面操作、步驟清楚、可暫停跟做的版本</x:v>
      </x:c>
      <x:c r="M69" s="38" t="str">
        <x:v>□ 未挑選</x:v>
      </x:c>
      <x:c r="N69" s="38" t="str"/>
      <x:c r="O69" s="38" t="str"/>
    </x:row>
    <x:row r="70">
      <x:c r="A70" s="38" t="n">
        <x:v>23</x:v>
      </x:c>
      <x:c r="B70" s="38" t="str">
        <x:v>第 1 年</x:v>
      </x:c>
      <x:c r="C70" s="38" t="str">
        <x:v>M02 Scratch 創意遊戲與計算思維</x:v>
      </x:c>
      <x:c r="D70" s="38" t="n">
        <x:v>7</x:v>
      </x:c>
      <x:c r="E70" s="38" t="str">
        <x:v>廣播訊息：角色怎麼合作</x:v>
      </x:c>
      <x:c r="F70" s="38" t="n">
        <x:v>3</x:v>
      </x:c>
      <x:c r="G70" s="38" t="str">
        <x:v>中文延伸／倫理安全</x:v>
      </x:c>
      <x:c r="H70" s="38" t="str">
        <x:v>廣播訊息 角色怎麼合作 中文 教學 原理 安全 親子 Scratch coding game animation</x:v>
      </x:c>
      <x:c r="I70" s="38" t="str">
        <x:v>https://www.youtube.com/results?search_query=%E5%BB%A3%E6%92%AD%E8%A8%8A%E6%81%AF+%E8%A7%92%E8%89%B2%E6%80%8E%E9%BA%BC%E5%90%88%E4%BD%9C+%E4%B8%AD%E6%96%87+%E6%95%99%E5%AD%B8+%E5%8E%9F%E7%90%86+%E5%AE%89%E5%85%A8+%E8%A6%AA%E5%AD%90+Scratch+coding+game+animation</x:v>
      </x:c>
      <x:c r="J70" s="38" t="str">
        <x:v>課後延伸／親子討論</x:v>
      </x:c>
      <x:c r="K70" s="38" t="str">
        <x:v>6–15 分鐘</x:v>
      </x:c>
      <x:c r="L70" s="38" t="str">
        <x:v>補充應用、倫理、安全或真實案例；父子各說一個觀點</x:v>
      </x:c>
      <x:c r="M70" s="38" t="str">
        <x:v>□ 未挑選</x:v>
      </x:c>
      <x:c r="N70" s="38" t="str"/>
      <x:c r="O70" s="38" t="str"/>
    </x:row>
    <x:row r="71">
      <x:c r="A71" s="38" t="n">
        <x:v>24</x:v>
      </x:c>
      <x:c r="B71" s="38" t="str">
        <x:v>第 1 年</x:v>
      </x:c>
      <x:c r="C71" s="38" t="str">
        <x:v>M02 Scratch 創意遊戲與計算思維</x:v>
      </x:c>
      <x:c r="D71" s="38" t="n">
        <x:v>8</x:v>
      </x:c>
      <x:c r="E71" s="38" t="str">
        <x:v>分身軍團</x:v>
      </x:c>
      <x:c r="F71" s="38" t="n">
        <x:v>1</x:v>
      </x:c>
      <x:c r="G71" s="38" t="str">
        <x:v>概念入門／官方優先</x:v>
      </x:c>
      <x:c r="H71" s="38" t="str">
        <x:v>分身軍團 Scratch coding game animation beginner tutorial Scratch</x:v>
      </x:c>
      <x:c r="I71" s="38" t="str">
        <x:v>https://www.youtube.com/results?search_query=%E5%88%86%E8%BA%AB%E8%BB%8D%E5%9C%98+Scratch+coding+game+animation+beginner+tutorial+Scratch</x:v>
      </x:c>
      <x:c r="J71" s="38" t="str">
        <x:v>課前暖身</x:v>
      </x:c>
      <x:c r="K71" s="38" t="str">
        <x:v>5–12 分鐘</x:v>
      </x:c>
      <x:c r="L71" s="38" t="str">
        <x:v>先建立直覺；看完能說出 3 個關鍵詞</x:v>
      </x:c>
      <x:c r="M71" s="38" t="str">
        <x:v>□ 未挑選</x:v>
      </x:c>
      <x:c r="N71" s="38" t="str"/>
      <x:c r="O71" s="38" t="str"/>
    </x:row>
    <x:row r="72">
      <x:c r="A72" s="38" t="n">
        <x:v>24</x:v>
      </x:c>
      <x:c r="B72" s="38" t="str">
        <x:v>第 1 年</x:v>
      </x:c>
      <x:c r="C72" s="38" t="str">
        <x:v>M02 Scratch 創意遊戲與計算思維</x:v>
      </x:c>
      <x:c r="D72" s="38" t="n">
        <x:v>8</x:v>
      </x:c>
      <x:c r="E72" s="38" t="str">
        <x:v>分身軍團</x:v>
      </x:c>
      <x:c r="F72" s="38" t="n">
        <x:v>2</x:v>
      </x:c>
      <x:c r="G72" s="38" t="str">
        <x:v>跟做實作／專案導向</x:v>
      </x:c>
      <x:c r="H72" s="38" t="str">
        <x:v>分身軍團 用 clone 建立大量相似物件 hands on project for kids Scratch coding game animation</x:v>
      </x:c>
      <x:c r="I72" s="38" t="str">
        <x:v>https://www.youtube.com/results?search_query=%E5%88%86%E8%BA%AB%E8%BB%8D%E5%9C%98+%E7%94%A8+clone+%E5%BB%BA%E7%AB%8B%E5%A4%A7%E9%87%8F%E7%9B%B8%E4%BC%BC%E7%89%A9%E4%BB%B6+hands+on+project+for+kids+Scratch+coding+game+animation</x:v>
      </x:c>
      <x:c r="J72" s="38" t="str">
        <x:v>課中實作參考</x:v>
      </x:c>
      <x:c r="K72" s="38" t="str">
        <x:v>8–20 分鐘</x:v>
      </x:c>
      <x:c r="L72" s="38" t="str">
        <x:v>優先找有畫面操作、步驟清楚、可暫停跟做的版本</x:v>
      </x:c>
      <x:c r="M72" s="38" t="str">
        <x:v>□ 未挑選</x:v>
      </x:c>
      <x:c r="N72" s="38" t="str"/>
      <x:c r="O72" s="38" t="str"/>
    </x:row>
    <x:row r="73">
      <x:c r="A73" s="38" t="n">
        <x:v>24</x:v>
      </x:c>
      <x:c r="B73" s="38" t="str">
        <x:v>第 1 年</x:v>
      </x:c>
      <x:c r="C73" s="38" t="str">
        <x:v>M02 Scratch 創意遊戲與計算思維</x:v>
      </x:c>
      <x:c r="D73" s="38" t="n">
        <x:v>8</x:v>
      </x:c>
      <x:c r="E73" s="38" t="str">
        <x:v>分身軍團</x:v>
      </x:c>
      <x:c r="F73" s="38" t="n">
        <x:v>3</x:v>
      </x:c>
      <x:c r="G73" s="38" t="str">
        <x:v>中文延伸／倫理安全</x:v>
      </x:c>
      <x:c r="H73" s="38" t="str">
        <x:v>分身軍團 中文 教學 原理 安全 親子 Scratch coding game animation</x:v>
      </x:c>
      <x:c r="I73" s="38" t="str">
        <x:v>https://www.youtube.com/results?search_query=%E5%88%86%E8%BA%AB%E8%BB%8D%E5%9C%98+%E4%B8%AD%E6%96%87+%E6%95%99%E5%AD%B8+%E5%8E%9F%E7%90%86+%E5%AE%89%E5%85%A8+%E8%A6%AA%E5%AD%90+Scratch+coding+game+animation</x:v>
      </x:c>
      <x:c r="J73" s="38" t="str">
        <x:v>課後延伸／親子討論</x:v>
      </x:c>
      <x:c r="K73" s="38" t="str">
        <x:v>6–15 分鐘</x:v>
      </x:c>
      <x:c r="L73" s="38" t="str">
        <x:v>補充應用、倫理、安全或真實案例；父子各說一個觀點</x:v>
      </x:c>
      <x:c r="M73" s="38" t="str">
        <x:v>□ 未挑選</x:v>
      </x:c>
      <x:c r="N73" s="38" t="str"/>
      <x:c r="O73" s="38" t="str"/>
    </x:row>
    <x:row r="74">
      <x:c r="A74" s="38" t="n">
        <x:v>25</x:v>
      </x:c>
      <x:c r="B74" s="38" t="str">
        <x:v>第 1 年</x:v>
      </x:c>
      <x:c r="C74" s="38" t="str">
        <x:v>M02 Scratch 創意遊戲與計算思維</x:v>
      </x:c>
      <x:c r="D74" s="38" t="n">
        <x:v>9</x:v>
      </x:c>
      <x:c r="E74" s="38" t="str">
        <x:v>座標、方向與碰撞</x:v>
      </x:c>
      <x:c r="F74" s="38" t="n">
        <x:v>1</x:v>
      </x:c>
      <x:c r="G74" s="38" t="str">
        <x:v>概念入門／官方優先</x:v>
      </x:c>
      <x:c r="H74" s="38" t="str">
        <x:v>座標、方向與碰撞 Scratch coding game animation beginner tutorial Scratch</x:v>
      </x:c>
      <x:c r="I74" s="38" t="str">
        <x:v>https://www.youtube.com/results?search_query=%E5%BA%A7%E6%A8%99%E3%80%81%E6%96%B9%E5%90%91%E8%88%87%E7%A2%B0%E6%92%9E+Scratch+coding+game+animation+beginner+tutorial+Scratch</x:v>
      </x:c>
      <x:c r="J74" s="38" t="str">
        <x:v>課前暖身</x:v>
      </x:c>
      <x:c r="K74" s="38" t="str">
        <x:v>5–12 分鐘</x:v>
      </x:c>
      <x:c r="L74" s="38" t="str">
        <x:v>先建立直覺；看完能說出 3 個關鍵詞</x:v>
      </x:c>
      <x:c r="M74" s="38" t="str">
        <x:v>□ 未挑選</x:v>
      </x:c>
      <x:c r="N74" s="38" t="str"/>
      <x:c r="O74" s="38" t="str"/>
    </x:row>
    <x:row r="75">
      <x:c r="A75" s="38" t="n">
        <x:v>25</x:v>
      </x:c>
      <x:c r="B75" s="38" t="str">
        <x:v>第 1 年</x:v>
      </x:c>
      <x:c r="C75" s="38" t="str">
        <x:v>M02 Scratch 創意遊戲與計算思維</x:v>
      </x:c>
      <x:c r="D75" s="38" t="n">
        <x:v>9</x:v>
      </x:c>
      <x:c r="E75" s="38" t="str">
        <x:v>座標、方向與碰撞</x:v>
      </x:c>
      <x:c r="F75" s="38" t="n">
        <x:v>2</x:v>
      </x:c>
      <x:c r="G75" s="38" t="str">
        <x:v>跟做實作／專案導向</x:v>
      </x:c>
      <x:c r="H75" s="38" t="str">
        <x:v>座標、方向與碰撞 用 x/y、方向與 touching 建立移動規則 hands on project for kids Scratch coding game animation</x:v>
      </x:c>
      <x:c r="I75" s="38" t="str">
        <x:v>https://www.youtube.com/results?search_query=%E5%BA%A7%E6%A8%99%E3%80%81%E6%96%B9%E5%90%91%E8%88%87%E7%A2%B0%E6%92%9E+%E7%94%A8+x%2Fy%E3%80%81%E6%96%B9%E5%90%91%E8%88%87+touching+%E5%BB%BA%E7%AB%8B%E7%A7%BB%E5%8B%95%E8%A6%8F%E5%89%87+hands+on+project+for+kids+Scratch+coding+game+animation</x:v>
      </x:c>
      <x:c r="J75" s="38" t="str">
        <x:v>課中實作參考</x:v>
      </x:c>
      <x:c r="K75" s="38" t="str">
        <x:v>8–20 分鐘</x:v>
      </x:c>
      <x:c r="L75" s="38" t="str">
        <x:v>優先找有畫面操作、步驟清楚、可暫停跟做的版本</x:v>
      </x:c>
      <x:c r="M75" s="38" t="str">
        <x:v>□ 未挑選</x:v>
      </x:c>
      <x:c r="N75" s="38" t="str"/>
      <x:c r="O75" s="38" t="str"/>
    </x:row>
    <x:row r="76">
      <x:c r="A76" s="38" t="n">
        <x:v>25</x:v>
      </x:c>
      <x:c r="B76" s="38" t="str">
        <x:v>第 1 年</x:v>
      </x:c>
      <x:c r="C76" s="38" t="str">
        <x:v>M02 Scratch 創意遊戲與計算思維</x:v>
      </x:c>
      <x:c r="D76" s="38" t="n">
        <x:v>9</x:v>
      </x:c>
      <x:c r="E76" s="38" t="str">
        <x:v>座標、方向與碰撞</x:v>
      </x:c>
      <x:c r="F76" s="38" t="n">
        <x:v>3</x:v>
      </x:c>
      <x:c r="G76" s="38" t="str">
        <x:v>中文延伸／倫理安全</x:v>
      </x:c>
      <x:c r="H76" s="38" t="str">
        <x:v>座標、方向與碰撞 中文 教學 原理 安全 親子 Scratch coding game animation</x:v>
      </x:c>
      <x:c r="I76" s="38" t="str">
        <x:v>https://www.youtube.com/results?search_query=%E5%BA%A7%E6%A8%99%E3%80%81%E6%96%B9%E5%90%91%E8%88%87%E7%A2%B0%E6%92%9E+%E4%B8%AD%E6%96%87+%E6%95%99%E5%AD%B8+%E5%8E%9F%E7%90%86+%E5%AE%89%E5%85%A8+%E8%A6%AA%E5%AD%90+Scratch+coding+game+animation</x:v>
      </x:c>
      <x:c r="J76" s="38" t="str">
        <x:v>課後延伸／親子討論</x:v>
      </x:c>
      <x:c r="K76" s="38" t="str">
        <x:v>6–15 分鐘</x:v>
      </x:c>
      <x:c r="L76" s="38" t="str">
        <x:v>補充應用、倫理、安全或真實案例；父子各說一個觀點</x:v>
      </x:c>
      <x:c r="M76" s="38" t="str">
        <x:v>□ 未挑選</x:v>
      </x:c>
      <x:c r="N76" s="38" t="str"/>
      <x:c r="O76" s="38" t="str"/>
    </x:row>
    <x:row r="77">
      <x:c r="A77" s="38" t="n">
        <x:v>26</x:v>
      </x:c>
      <x:c r="B77" s="38" t="str">
        <x:v>第 1 年</x:v>
      </x:c>
      <x:c r="C77" s="38" t="str">
        <x:v>M02 Scratch 創意遊戲與計算思維</x:v>
      </x:c>
      <x:c r="D77" s="38" t="n">
        <x:v>10</x:v>
      </x:c>
      <x:c r="E77" s="38" t="str">
        <x:v>音效與節奏：用程式作曲</x:v>
      </x:c>
      <x:c r="F77" s="38" t="n">
        <x:v>1</x:v>
      </x:c>
      <x:c r="G77" s="38" t="str">
        <x:v>概念入門／官方優先</x:v>
      </x:c>
      <x:c r="H77" s="38" t="str">
        <x:v>音效與節奏 用程式作曲 Scratch coding game animation beginner tutorial Scratch</x:v>
      </x:c>
      <x:c r="I77" s="38" t="str">
        <x:v>https://www.youtube.com/results?search_query=%E9%9F%B3%E6%95%88%E8%88%87%E7%AF%80%E5%A5%8F+%E7%94%A8%E7%A8%8B%E5%BC%8F%E4%BD%9C%E6%9B%B2+Scratch+coding+game+animation+beginner+tutorial+Scratch</x:v>
      </x:c>
      <x:c r="J77" s="38" t="str">
        <x:v>課前暖身</x:v>
      </x:c>
      <x:c r="K77" s="38" t="str">
        <x:v>5–12 分鐘</x:v>
      </x:c>
      <x:c r="L77" s="38" t="str">
        <x:v>先建立直覺；看完能說出 3 個關鍵詞</x:v>
      </x:c>
      <x:c r="M77" s="38" t="str">
        <x:v>□ 未挑選</x:v>
      </x:c>
      <x:c r="N77" s="38" t="str"/>
      <x:c r="O77" s="38" t="str"/>
    </x:row>
    <x:row r="78">
      <x:c r="A78" s="38" t="n">
        <x:v>26</x:v>
      </x:c>
      <x:c r="B78" s="38" t="str">
        <x:v>第 1 年</x:v>
      </x:c>
      <x:c r="C78" s="38" t="str">
        <x:v>M02 Scratch 創意遊戲與計算思維</x:v>
      </x:c>
      <x:c r="D78" s="38" t="n">
        <x:v>10</x:v>
      </x:c>
      <x:c r="E78" s="38" t="str">
        <x:v>音效與節奏：用程式作曲</x:v>
      </x:c>
      <x:c r="F78" s="38" t="n">
        <x:v>2</x:v>
      </x:c>
      <x:c r="G78" s="38" t="str">
        <x:v>跟做實作／專案導向</x:v>
      </x:c>
      <x:c r="H78" s="38" t="str">
        <x:v>音效與節奏 用程式作曲 理解時間、節拍、音高與同步 hands on project for kids Scratch coding game animation</x:v>
      </x:c>
      <x:c r="I78" s="38" t="str">
        <x:v>https://www.youtube.com/results?search_query=%E9%9F%B3%E6%95%88%E8%88%87%E7%AF%80%E5%A5%8F+%E7%94%A8%E7%A8%8B%E5%BC%8F%E4%BD%9C%E6%9B%B2+%E7%90%86%E8%A7%A3%E6%99%82%E9%96%93%E3%80%81%E7%AF%80%E6%8B%8D%E3%80%81%E9%9F%B3%E9%AB%98%E8%88%87%E5%90%8C%E6%AD%A5+hands+on+project+for+kids+Scratch+coding+game+animation</x:v>
      </x:c>
      <x:c r="J78" s="38" t="str">
        <x:v>課中實作參考</x:v>
      </x:c>
      <x:c r="K78" s="38" t="str">
        <x:v>8–20 分鐘</x:v>
      </x:c>
      <x:c r="L78" s="38" t="str">
        <x:v>優先找有畫面操作、步驟清楚、可暫停跟做的版本</x:v>
      </x:c>
      <x:c r="M78" s="38" t="str">
        <x:v>□ 未挑選</x:v>
      </x:c>
      <x:c r="N78" s="38" t="str"/>
      <x:c r="O78" s="38" t="str"/>
    </x:row>
    <x:row r="79">
      <x:c r="A79" s="38" t="n">
        <x:v>26</x:v>
      </x:c>
      <x:c r="B79" s="38" t="str">
        <x:v>第 1 年</x:v>
      </x:c>
      <x:c r="C79" s="38" t="str">
        <x:v>M02 Scratch 創意遊戲與計算思維</x:v>
      </x:c>
      <x:c r="D79" s="38" t="n">
        <x:v>10</x:v>
      </x:c>
      <x:c r="E79" s="38" t="str">
        <x:v>音效與節奏：用程式作曲</x:v>
      </x:c>
      <x:c r="F79" s="38" t="n">
        <x:v>3</x:v>
      </x:c>
      <x:c r="G79" s="38" t="str">
        <x:v>中文延伸／倫理安全</x:v>
      </x:c>
      <x:c r="H79" s="38" t="str">
        <x:v>音效與節奏 用程式作曲 中文 教學 原理 安全 親子 Scratch coding game animation</x:v>
      </x:c>
      <x:c r="I79" s="38" t="str">
        <x:v>https://www.youtube.com/results?search_query=%E9%9F%B3%E6%95%88%E8%88%87%E7%AF%80%E5%A5%8F+%E7%94%A8%E7%A8%8B%E5%BC%8F%E4%BD%9C%E6%9B%B2+%E4%B8%AD%E6%96%87+%E6%95%99%E5%AD%B8+%E5%8E%9F%E7%90%86+%E5%AE%89%E5%85%A8+%E8%A6%AA%E5%AD%90+Scratch+coding+game+animation</x:v>
      </x:c>
      <x:c r="J79" s="38" t="str">
        <x:v>課後延伸／親子討論</x:v>
      </x:c>
      <x:c r="K79" s="38" t="str">
        <x:v>6–15 分鐘</x:v>
      </x:c>
      <x:c r="L79" s="38" t="str">
        <x:v>補充應用、倫理、安全或真實案例；父子各說一個觀點</x:v>
      </x:c>
      <x:c r="M79" s="38" t="str">
        <x:v>□ 未挑選</x:v>
      </x:c>
      <x:c r="N79" s="38" t="str"/>
      <x:c r="O79" s="38" t="str"/>
    </x:row>
    <x:row r="80">
      <x:c r="A80" s="38" t="n">
        <x:v>27</x:v>
      </x:c>
      <x:c r="B80" s="38" t="str">
        <x:v>第 1 年</x:v>
      </x:c>
      <x:c r="C80" s="38" t="str">
        <x:v>M02 Scratch 創意遊戲與計算思維</x:v>
      </x:c>
      <x:c r="D80" s="38" t="n">
        <x:v>11</x:v>
      </x:c>
      <x:c r="E80" s="38" t="str">
        <x:v>互動故事與分鏡</x:v>
      </x:c>
      <x:c r="F80" s="38" t="n">
        <x:v>1</x:v>
      </x:c>
      <x:c r="G80" s="38" t="str">
        <x:v>概念入門／官方優先</x:v>
      </x:c>
      <x:c r="H80" s="38" t="str">
        <x:v>互動故事與分鏡 Scratch coding game animation beginner tutorial Scratch</x:v>
      </x:c>
      <x:c r="I80" s="38" t="str">
        <x:v>https://www.youtube.com/results?search_query=%E4%BA%92%E5%8B%95%E6%95%85%E4%BA%8B%E8%88%87%E5%88%86%E9%8F%A1+Scratch+coding+game+animation+beginner+tutorial+Scratch</x:v>
      </x:c>
      <x:c r="J80" s="38" t="str">
        <x:v>課前暖身</x:v>
      </x:c>
      <x:c r="K80" s="38" t="str">
        <x:v>5–12 分鐘</x:v>
      </x:c>
      <x:c r="L80" s="38" t="str">
        <x:v>先建立直覺；看完能說出 3 個關鍵詞</x:v>
      </x:c>
      <x:c r="M80" s="38" t="str">
        <x:v>□ 未挑選</x:v>
      </x:c>
      <x:c r="N80" s="38" t="str"/>
      <x:c r="O80" s="38" t="str"/>
    </x:row>
    <x:row r="81">
      <x:c r="A81" s="38" t="n">
        <x:v>27</x:v>
      </x:c>
      <x:c r="B81" s="38" t="str">
        <x:v>第 1 年</x:v>
      </x:c>
      <x:c r="C81" s="38" t="str">
        <x:v>M02 Scratch 創意遊戲與計算思維</x:v>
      </x:c>
      <x:c r="D81" s="38" t="n">
        <x:v>11</x:v>
      </x:c>
      <x:c r="E81" s="38" t="str">
        <x:v>互動故事與分鏡</x:v>
      </x:c>
      <x:c r="F81" s="38" t="n">
        <x:v>2</x:v>
      </x:c>
      <x:c r="G81" s="38" t="str">
        <x:v>跟做實作／專案導向</x:v>
      </x:c>
      <x:c r="H81" s="38" t="str">
        <x:v>互動故事與分鏡 把故事拆成場景、角色、事件與選擇 hands on project for kids Scratch coding game animation</x:v>
      </x:c>
      <x:c r="I81" s="38" t="str">
        <x:v>https://www.youtube.com/results?search_query=%E4%BA%92%E5%8B%95%E6%95%85%E4%BA%8B%E8%88%87%E5%88%86%E9%8F%A1+%E6%8A%8A%E6%95%85%E4%BA%8B%E6%8B%86%E6%88%90%E5%A0%B4%E6%99%AF%E3%80%81%E8%A7%92%E8%89%B2%E3%80%81%E4%BA%8B%E4%BB%B6%E8%88%87%E9%81%B8%E6%93%87+hands+on+project+for+kids+Scratch+coding+game+animation</x:v>
      </x:c>
      <x:c r="J81" s="38" t="str">
        <x:v>課中實作參考</x:v>
      </x:c>
      <x:c r="K81" s="38" t="str">
        <x:v>8–20 分鐘</x:v>
      </x:c>
      <x:c r="L81" s="38" t="str">
        <x:v>優先找有畫面操作、步驟清楚、可暫停跟做的版本</x:v>
      </x:c>
      <x:c r="M81" s="38" t="str">
        <x:v>□ 未挑選</x:v>
      </x:c>
      <x:c r="N81" s="38" t="str"/>
      <x:c r="O81" s="38" t="str"/>
    </x:row>
    <x:row r="82">
      <x:c r="A82" s="38" t="n">
        <x:v>27</x:v>
      </x:c>
      <x:c r="B82" s="38" t="str">
        <x:v>第 1 年</x:v>
      </x:c>
      <x:c r="C82" s="38" t="str">
        <x:v>M02 Scratch 創意遊戲與計算思維</x:v>
      </x:c>
      <x:c r="D82" s="38" t="n">
        <x:v>11</x:v>
      </x:c>
      <x:c r="E82" s="38" t="str">
        <x:v>互動故事與分鏡</x:v>
      </x:c>
      <x:c r="F82" s="38" t="n">
        <x:v>3</x:v>
      </x:c>
      <x:c r="G82" s="38" t="str">
        <x:v>中文延伸／倫理安全</x:v>
      </x:c>
      <x:c r="H82" s="38" t="str">
        <x:v>互動故事與分鏡 中文 教學 原理 安全 親子 Scratch coding game animation</x:v>
      </x:c>
      <x:c r="I82" s="38" t="str">
        <x:v>https://www.youtube.com/results?search_query=%E4%BA%92%E5%8B%95%E6%95%85%E4%BA%8B%E8%88%87%E5%88%86%E9%8F%A1+%E4%B8%AD%E6%96%87+%E6%95%99%E5%AD%B8+%E5%8E%9F%E7%90%86+%E5%AE%89%E5%85%A8+%E8%A6%AA%E5%AD%90+Scratch+coding+game+animation</x:v>
      </x:c>
      <x:c r="J82" s="38" t="str">
        <x:v>課後延伸／親子討論</x:v>
      </x:c>
      <x:c r="K82" s="38" t="str">
        <x:v>6–15 分鐘</x:v>
      </x:c>
      <x:c r="L82" s="38" t="str">
        <x:v>補充應用、倫理、安全或真實案例；父子各說一個觀點</x:v>
      </x:c>
      <x:c r="M82" s="38" t="str">
        <x:v>□ 未挑選</x:v>
      </x:c>
      <x:c r="N82" s="38" t="str"/>
      <x:c r="O82" s="38" t="str"/>
    </x:row>
    <x:row r="83">
      <x:c r="A83" s="38" t="n">
        <x:v>28</x:v>
      </x:c>
      <x:c r="B83" s="38" t="str">
        <x:v>第 1 年</x:v>
      </x:c>
      <x:c r="C83" s="38" t="str">
        <x:v>M02 Scratch 創意遊戲與計算思維</x:v>
      </x:c>
      <x:c r="D83" s="38" t="n">
        <x:v>12</x:v>
      </x:c>
      <x:c r="E83" s="38" t="str">
        <x:v>除錯偵探：找出五隻 Bug</x:v>
      </x:c>
      <x:c r="F83" s="38" t="n">
        <x:v>1</x:v>
      </x:c>
      <x:c r="G83" s="38" t="str">
        <x:v>概念入門／官方優先</x:v>
      </x:c>
      <x:c r="H83" s="38" t="str">
        <x:v>除錯偵探 找出五隻 Bug Scratch coding game animation beginner tutorial Scratch</x:v>
      </x:c>
      <x:c r="I83" s="38" t="str">
        <x:v>https://www.youtube.com/results?search_query=%E9%99%A4%E9%8C%AF%E5%81%B5%E6%8E%A2+%E6%89%BE%E5%87%BA%E4%BA%94%E9%9A%BB+Bug+Scratch+coding+game+animation+beginner+tutorial+Scratch</x:v>
      </x:c>
      <x:c r="J83" s="38" t="str">
        <x:v>課前暖身</x:v>
      </x:c>
      <x:c r="K83" s="38" t="str">
        <x:v>5–12 分鐘</x:v>
      </x:c>
      <x:c r="L83" s="38" t="str">
        <x:v>先建立直覺；看完能說出 3 個關鍵詞</x:v>
      </x:c>
      <x:c r="M83" s="38" t="str">
        <x:v>□ 未挑選</x:v>
      </x:c>
      <x:c r="N83" s="38" t="str"/>
      <x:c r="O83" s="38" t="str"/>
    </x:row>
    <x:row r="84">
      <x:c r="A84" s="38" t="n">
        <x:v>28</x:v>
      </x:c>
      <x:c r="B84" s="38" t="str">
        <x:v>第 1 年</x:v>
      </x:c>
      <x:c r="C84" s="38" t="str">
        <x:v>M02 Scratch 創意遊戲與計算思維</x:v>
      </x:c>
      <x:c r="D84" s="38" t="n">
        <x:v>12</x:v>
      </x:c>
      <x:c r="E84" s="38" t="str">
        <x:v>除錯偵探：找出五隻 Bug</x:v>
      </x:c>
      <x:c r="F84" s="38" t="n">
        <x:v>2</x:v>
      </x:c>
      <x:c r="G84" s="38" t="str">
        <x:v>跟做實作／專案導向</x:v>
      </x:c>
      <x:c r="H84" s="38" t="str">
        <x:v>除錯偵探 找出五隻 Bug 練習重現、觀察、假設、修改與回歸測試 hands on project for kids Scratch coding game animation</x:v>
      </x:c>
      <x:c r="I84" s="38" t="str">
        <x:v>https://www.youtube.com/results?search_query=%E9%99%A4%E9%8C%AF%E5%81%B5%E6%8E%A2+%E6%89%BE%E5%87%BA%E4%BA%94%E9%9A%BB+Bug+%E7%B7%B4%E7%BF%92%E9%87%8D%E7%8F%BE%E3%80%81%E8%A7%80%E5%AF%9F%E3%80%81%E5%81%87%E8%A8%AD%E3%80%81%E4%BF%AE%E6%94%B9%E8%88%87%E5%9B%9E%E6%AD%B8%E6%B8%AC%E8%A9%A6+hands+on+project+for+kids+Scratch+coding+game+animation</x:v>
      </x:c>
      <x:c r="J84" s="38" t="str">
        <x:v>課中實作參考</x:v>
      </x:c>
      <x:c r="K84" s="38" t="str">
        <x:v>8–20 分鐘</x:v>
      </x:c>
      <x:c r="L84" s="38" t="str">
        <x:v>優先找有畫面操作、步驟清楚、可暫停跟做的版本</x:v>
      </x:c>
      <x:c r="M84" s="38" t="str">
        <x:v>□ 未挑選</x:v>
      </x:c>
      <x:c r="N84" s="38" t="str"/>
      <x:c r="O84" s="38" t="str"/>
    </x:row>
    <x:row r="85">
      <x:c r="A85" s="38" t="n">
        <x:v>28</x:v>
      </x:c>
      <x:c r="B85" s="38" t="str">
        <x:v>第 1 年</x:v>
      </x:c>
      <x:c r="C85" s="38" t="str">
        <x:v>M02 Scratch 創意遊戲與計算思維</x:v>
      </x:c>
      <x:c r="D85" s="38" t="n">
        <x:v>12</x:v>
      </x:c>
      <x:c r="E85" s="38" t="str">
        <x:v>除錯偵探：找出五隻 Bug</x:v>
      </x:c>
      <x:c r="F85" s="38" t="n">
        <x:v>3</x:v>
      </x:c>
      <x:c r="G85" s="38" t="str">
        <x:v>中文延伸／倫理安全</x:v>
      </x:c>
      <x:c r="H85" s="38" t="str">
        <x:v>除錯偵探 找出五隻 Bug 中文 教學 原理 安全 親子 Scratch coding game animation</x:v>
      </x:c>
      <x:c r="I85" s="38" t="str">
        <x:v>https://www.youtube.com/results?search_query=%E9%99%A4%E9%8C%AF%E5%81%B5%E6%8E%A2+%E6%89%BE%E5%87%BA%E4%BA%94%E9%9A%BB+Bug+%E4%B8%AD%E6%96%87+%E6%95%99%E5%AD%B8+%E5%8E%9F%E7%90%86+%E5%AE%89%E5%85%A8+%E8%A6%AA%E5%AD%90+Scratch+coding+game+animation</x:v>
      </x:c>
      <x:c r="J85" s="38" t="str">
        <x:v>課後延伸／親子討論</x:v>
      </x:c>
      <x:c r="K85" s="38" t="str">
        <x:v>6–15 分鐘</x:v>
      </x:c>
      <x:c r="L85" s="38" t="str">
        <x:v>補充應用、倫理、安全或真實案例；父子各說一個觀點</x:v>
      </x:c>
      <x:c r="M85" s="38" t="str">
        <x:v>□ 未挑選</x:v>
      </x:c>
      <x:c r="N85" s="38" t="str"/>
      <x:c r="O85" s="38" t="str"/>
    </x:row>
    <x:row r="86">
      <x:c r="A86" s="38" t="n">
        <x:v>29</x:v>
      </x:c>
      <x:c r="B86" s="38" t="str">
        <x:v>第 1 年</x:v>
      </x:c>
      <x:c r="C86" s="38" t="str">
        <x:v>M02 Scratch 創意遊戲與計算思維</x:v>
      </x:c>
      <x:c r="D86" s="38" t="n">
        <x:v>13</x:v>
      </x:c>
      <x:c r="E86" s="38" t="str">
        <x:v>遊戲設計：先用紙玩</x:v>
      </x:c>
      <x:c r="F86" s="38" t="n">
        <x:v>1</x:v>
      </x:c>
      <x:c r="G86" s="38" t="str">
        <x:v>概念入門／官方優先</x:v>
      </x:c>
      <x:c r="H86" s="38" t="str">
        <x:v>遊戲設計 先用紙玩 Scratch coding game animation beginner tutorial Scratch</x:v>
      </x:c>
      <x:c r="I86" s="38" t="str">
        <x:v>https://www.youtube.com/results?search_query=%E9%81%8A%E6%88%B2%E8%A8%AD%E8%A8%88+%E5%85%88%E7%94%A8%E7%B4%99%E7%8E%A9+Scratch+coding+game+animation+beginner+tutorial+Scratch</x:v>
      </x:c>
      <x:c r="J86" s="38" t="str">
        <x:v>課前暖身</x:v>
      </x:c>
      <x:c r="K86" s="38" t="str">
        <x:v>5–12 分鐘</x:v>
      </x:c>
      <x:c r="L86" s="38" t="str">
        <x:v>先建立直覺；看完能說出 3 個關鍵詞</x:v>
      </x:c>
      <x:c r="M86" s="38" t="str">
        <x:v>□ 未挑選</x:v>
      </x:c>
      <x:c r="N86" s="38" t="str"/>
      <x:c r="O86" s="38" t="str"/>
    </x:row>
    <x:row r="87">
      <x:c r="A87" s="38" t="n">
        <x:v>29</x:v>
      </x:c>
      <x:c r="B87" s="38" t="str">
        <x:v>第 1 年</x:v>
      </x:c>
      <x:c r="C87" s="38" t="str">
        <x:v>M02 Scratch 創意遊戲與計算思維</x:v>
      </x:c>
      <x:c r="D87" s="38" t="n">
        <x:v>13</x:v>
      </x:c>
      <x:c r="E87" s="38" t="str">
        <x:v>遊戲設計：先用紙玩</x:v>
      </x:c>
      <x:c r="F87" s="38" t="n">
        <x:v>2</x:v>
      </x:c>
      <x:c r="G87" s="38" t="str">
        <x:v>跟做實作／專案導向</x:v>
      </x:c>
      <x:c r="H87" s="38" t="str">
        <x:v>遊戲設計 先用紙玩 理解目標、規則、回饋、難度與失敗條件 hands on project for kids Scratch coding game animation</x:v>
      </x:c>
      <x:c r="I87" s="38" t="str">
        <x:v>https://www.youtube.com/results?search_query=%E9%81%8A%E6%88%B2%E8%A8%AD%E8%A8%88+%E5%85%88%E7%94%A8%E7%B4%99%E7%8E%A9+%E7%90%86%E8%A7%A3%E7%9B%AE%E6%A8%99%E3%80%81%E8%A6%8F%E5%89%87%E3%80%81%E5%9B%9E%E9%A5%8B%E3%80%81%E9%9B%A3%E5%BA%A6%E8%88%87%E5%A4%B1%E6%95%97%E6%A2%9D%E4%BB%B6+hands+on+project+for+kids+Scratch+coding+game+animation</x:v>
      </x:c>
      <x:c r="J87" s="38" t="str">
        <x:v>課中實作參考</x:v>
      </x:c>
      <x:c r="K87" s="38" t="str">
        <x:v>8–20 分鐘</x:v>
      </x:c>
      <x:c r="L87" s="38" t="str">
        <x:v>優先找有畫面操作、步驟清楚、可暫停跟做的版本</x:v>
      </x:c>
      <x:c r="M87" s="38" t="str">
        <x:v>□ 未挑選</x:v>
      </x:c>
      <x:c r="N87" s="38" t="str"/>
      <x:c r="O87" s="38" t="str"/>
    </x:row>
    <x:row r="88">
      <x:c r="A88" s="38" t="n">
        <x:v>29</x:v>
      </x:c>
      <x:c r="B88" s="38" t="str">
        <x:v>第 1 年</x:v>
      </x:c>
      <x:c r="C88" s="38" t="str">
        <x:v>M02 Scratch 創意遊戲與計算思維</x:v>
      </x:c>
      <x:c r="D88" s="38" t="n">
        <x:v>13</x:v>
      </x:c>
      <x:c r="E88" s="38" t="str">
        <x:v>遊戲設計：先用紙玩</x:v>
      </x:c>
      <x:c r="F88" s="38" t="n">
        <x:v>3</x:v>
      </x:c>
      <x:c r="G88" s="38" t="str">
        <x:v>中文延伸／倫理安全</x:v>
      </x:c>
      <x:c r="H88" s="38" t="str">
        <x:v>遊戲設計 先用紙玩 中文 教學 原理 安全 親子 Scratch coding game animation</x:v>
      </x:c>
      <x:c r="I88" s="38" t="str">
        <x:v>https://www.youtube.com/results?search_query=%E9%81%8A%E6%88%B2%E8%A8%AD%E8%A8%88+%E5%85%88%E7%94%A8%E7%B4%99%E7%8E%A9+%E4%B8%AD%E6%96%87+%E6%95%99%E5%AD%B8+%E5%8E%9F%E7%90%86+%E5%AE%89%E5%85%A8+%E8%A6%AA%E5%AD%90+Scratch+coding+game+animation</x:v>
      </x:c>
      <x:c r="J88" s="38" t="str">
        <x:v>課後延伸／親子討論</x:v>
      </x:c>
      <x:c r="K88" s="38" t="str">
        <x:v>6–15 分鐘</x:v>
      </x:c>
      <x:c r="L88" s="38" t="str">
        <x:v>補充應用、倫理、安全或真實案例；父子各說一個觀點</x:v>
      </x:c>
      <x:c r="M88" s="38" t="str">
        <x:v>□ 未挑選</x:v>
      </x:c>
      <x:c r="N88" s="38" t="str"/>
      <x:c r="O88" s="38" t="str"/>
    </x:row>
    <x:row r="89">
      <x:c r="A89" s="38" t="n">
        <x:v>30</x:v>
      </x:c>
      <x:c r="B89" s="38" t="str">
        <x:v>第 1 年</x:v>
      </x:c>
      <x:c r="C89" s="38" t="str">
        <x:v>M02 Scratch 創意遊戲與計算思維</x:v>
      </x:c>
      <x:c r="D89" s="38" t="n">
        <x:v>14</x:v>
      </x:c>
      <x:c r="E89" s="38" t="str">
        <x:v>原創遊戲 Alpha：核心玩法</x:v>
      </x:c>
      <x:c r="F89" s="38" t="n">
        <x:v>1</x:v>
      </x:c>
      <x:c r="G89" s="38" t="str">
        <x:v>概念入門／官方優先</x:v>
      </x:c>
      <x:c r="H89" s="38" t="str">
        <x:v>原創遊戲 Alpha 核心玩法 Scratch coding game animation beginner tutorial Scratch</x:v>
      </x:c>
      <x:c r="I89" s="38" t="str">
        <x:v>https://www.youtube.com/results?search_query=%E5%8E%9F%E5%89%B5%E9%81%8A%E6%88%B2+Alpha+%E6%A0%B8%E5%BF%83%E7%8E%A9%E6%B3%95+Scratch+coding+game+animation+beginner+tutorial+Scratch</x:v>
      </x:c>
      <x:c r="J89" s="38" t="str">
        <x:v>課前暖身</x:v>
      </x:c>
      <x:c r="K89" s="38" t="str">
        <x:v>5–12 分鐘</x:v>
      </x:c>
      <x:c r="L89" s="38" t="str">
        <x:v>先建立直覺；看完能說出 3 個關鍵詞</x:v>
      </x:c>
      <x:c r="M89" s="38" t="str">
        <x:v>□ 未挑選</x:v>
      </x:c>
      <x:c r="N89" s="38" t="str"/>
      <x:c r="O89" s="38" t="str"/>
    </x:row>
    <x:row r="90">
      <x:c r="A90" s="38" t="n">
        <x:v>30</x:v>
      </x:c>
      <x:c r="B90" s="38" t="str">
        <x:v>第 1 年</x:v>
      </x:c>
      <x:c r="C90" s="38" t="str">
        <x:v>M02 Scratch 創意遊戲與計算思維</x:v>
      </x:c>
      <x:c r="D90" s="38" t="n">
        <x:v>14</x:v>
      </x:c>
      <x:c r="E90" s="38" t="str">
        <x:v>原創遊戲 Alpha：核心玩法</x:v>
      </x:c>
      <x:c r="F90" s="38" t="n">
        <x:v>2</x:v>
      </x:c>
      <x:c r="G90" s="38" t="str">
        <x:v>跟做實作／專案導向</x:v>
      </x:c>
      <x:c r="H90" s="38" t="str">
        <x:v>原創遊戲 Alpha 核心玩法 把紙上原型轉成最小可玩版本 hands on project for kids Scratch coding game animation</x:v>
      </x:c>
      <x:c r="I90" s="38" t="str">
        <x:v>https://www.youtube.com/results?search_query=%E5%8E%9F%E5%89%B5%E9%81%8A%E6%88%B2+Alpha+%E6%A0%B8%E5%BF%83%E7%8E%A9%E6%B3%95+%E6%8A%8A%E7%B4%99%E4%B8%8A%E5%8E%9F%E5%9E%8B%E8%BD%89%E6%88%90%E6%9C%80%E5%B0%8F%E5%8F%AF%E7%8E%A9%E7%89%88%E6%9C%AC+hands+on+project+for+kids+Scratch+coding+game+animation</x:v>
      </x:c>
      <x:c r="J90" s="38" t="str">
        <x:v>課中實作參考</x:v>
      </x:c>
      <x:c r="K90" s="38" t="str">
        <x:v>8–20 分鐘</x:v>
      </x:c>
      <x:c r="L90" s="38" t="str">
        <x:v>優先找有畫面操作、步驟清楚、可暫停跟做的版本</x:v>
      </x:c>
      <x:c r="M90" s="38" t="str">
        <x:v>□ 未挑選</x:v>
      </x:c>
      <x:c r="N90" s="38" t="str"/>
      <x:c r="O90" s="38" t="str"/>
    </x:row>
    <x:row r="91">
      <x:c r="A91" s="38" t="n">
        <x:v>30</x:v>
      </x:c>
      <x:c r="B91" s="38" t="str">
        <x:v>第 1 年</x:v>
      </x:c>
      <x:c r="C91" s="38" t="str">
        <x:v>M02 Scratch 創意遊戲與計算思維</x:v>
      </x:c>
      <x:c r="D91" s="38" t="n">
        <x:v>14</x:v>
      </x:c>
      <x:c r="E91" s="38" t="str">
        <x:v>原創遊戲 Alpha：核心玩法</x:v>
      </x:c>
      <x:c r="F91" s="38" t="n">
        <x:v>3</x:v>
      </x:c>
      <x:c r="G91" s="38" t="str">
        <x:v>中文延伸／倫理安全</x:v>
      </x:c>
      <x:c r="H91" s="38" t="str">
        <x:v>原創遊戲 Alpha 核心玩法 中文 教學 原理 安全 親子 Scratch coding game animation</x:v>
      </x:c>
      <x:c r="I91" s="38" t="str">
        <x:v>https://www.youtube.com/results?search_query=%E5%8E%9F%E5%89%B5%E9%81%8A%E6%88%B2+Alpha+%E6%A0%B8%E5%BF%83%E7%8E%A9%E6%B3%95+%E4%B8%AD%E6%96%87+%E6%95%99%E5%AD%B8+%E5%8E%9F%E7%90%86+%E5%AE%89%E5%85%A8+%E8%A6%AA%E5%AD%90+Scratch+coding+game+animation</x:v>
      </x:c>
      <x:c r="J91" s="38" t="str">
        <x:v>課後延伸／親子討論</x:v>
      </x:c>
      <x:c r="K91" s="38" t="str">
        <x:v>6–15 分鐘</x:v>
      </x:c>
      <x:c r="L91" s="38" t="str">
        <x:v>補充應用、倫理、安全或真實案例；父子各說一個觀點</x:v>
      </x:c>
      <x:c r="M91" s="38" t="str">
        <x:v>□ 未挑選</x:v>
      </x:c>
      <x:c r="N91" s="38" t="str"/>
      <x:c r="O91" s="38" t="str"/>
    </x:row>
    <x:row r="92">
      <x:c r="A92" s="38" t="n">
        <x:v>31</x:v>
      </x:c>
      <x:c r="B92" s="38" t="str">
        <x:v>第 1 年</x:v>
      </x:c>
      <x:c r="C92" s="38" t="str">
        <x:v>M02 Scratch 創意遊戲與計算思維</x:v>
      </x:c>
      <x:c r="D92" s="38" t="n">
        <x:v>15</x:v>
      </x:c>
      <x:c r="E92" s="38" t="str">
        <x:v>玩家測試與改版</x:v>
      </x:c>
      <x:c r="F92" s="38" t="n">
        <x:v>1</x:v>
      </x:c>
      <x:c r="G92" s="38" t="str">
        <x:v>概念入門／官方優先</x:v>
      </x:c>
      <x:c r="H92" s="38" t="str">
        <x:v>玩家測試與改版 Scratch coding game animation beginner tutorial Scratch</x:v>
      </x:c>
      <x:c r="I92" s="38" t="str">
        <x:v>https://www.youtube.com/results?search_query=%E7%8E%A9%E5%AE%B6%E6%B8%AC%E8%A9%A6%E8%88%87%E6%94%B9%E7%89%88+Scratch+coding+game+animation+beginner+tutorial+Scratch</x:v>
      </x:c>
      <x:c r="J92" s="38" t="str">
        <x:v>課前暖身</x:v>
      </x:c>
      <x:c r="K92" s="38" t="str">
        <x:v>5–12 分鐘</x:v>
      </x:c>
      <x:c r="L92" s="38" t="str">
        <x:v>先建立直覺；看完能說出 3 個關鍵詞</x:v>
      </x:c>
      <x:c r="M92" s="38" t="str">
        <x:v>□ 未挑選</x:v>
      </x:c>
      <x:c r="N92" s="38" t="str"/>
      <x:c r="O92" s="38" t="str"/>
    </x:row>
    <x:row r="93">
      <x:c r="A93" s="38" t="n">
        <x:v>31</x:v>
      </x:c>
      <x:c r="B93" s="38" t="str">
        <x:v>第 1 年</x:v>
      </x:c>
      <x:c r="C93" s="38" t="str">
        <x:v>M02 Scratch 創意遊戲與計算思維</x:v>
      </x:c>
      <x:c r="D93" s="38" t="n">
        <x:v>15</x:v>
      </x:c>
      <x:c r="E93" s="38" t="str">
        <x:v>玩家測試與改版</x:v>
      </x:c>
      <x:c r="F93" s="38" t="n">
        <x:v>2</x:v>
      </x:c>
      <x:c r="G93" s="38" t="str">
        <x:v>跟做實作／專案導向</x:v>
      </x:c>
      <x:c r="H93" s="38" t="str">
        <x:v>玩家測試與改版 從觀察而非辯解中取得使用者回饋 hands on project for kids Scratch coding game animation</x:v>
      </x:c>
      <x:c r="I93" s="38" t="str">
        <x:v>https://www.youtube.com/results?search_query=%E7%8E%A9%E5%AE%B6%E6%B8%AC%E8%A9%A6%E8%88%87%E6%94%B9%E7%89%88+%E5%BE%9E%E8%A7%80%E5%AF%9F%E8%80%8C%E9%9D%9E%E8%BE%AF%E8%A7%A3%E4%B8%AD%E5%8F%96%E5%BE%97%E4%BD%BF%E7%94%A8%E8%80%85%E5%9B%9E%E9%A5%8B+hands+on+project+for+kids+Scratch+coding+game+animation</x:v>
      </x:c>
      <x:c r="J93" s="38" t="str">
        <x:v>課中實作參考</x:v>
      </x:c>
      <x:c r="K93" s="38" t="str">
        <x:v>8–20 分鐘</x:v>
      </x:c>
      <x:c r="L93" s="38" t="str">
        <x:v>優先找有畫面操作、步驟清楚、可暫停跟做的版本</x:v>
      </x:c>
      <x:c r="M93" s="38" t="str">
        <x:v>□ 未挑選</x:v>
      </x:c>
      <x:c r="N93" s="38" t="str"/>
      <x:c r="O93" s="38" t="str"/>
    </x:row>
    <x:row r="94">
      <x:c r="A94" s="38" t="n">
        <x:v>31</x:v>
      </x:c>
      <x:c r="B94" s="38" t="str">
        <x:v>第 1 年</x:v>
      </x:c>
      <x:c r="C94" s="38" t="str">
        <x:v>M02 Scratch 創意遊戲與計算思維</x:v>
      </x:c>
      <x:c r="D94" s="38" t="n">
        <x:v>15</x:v>
      </x:c>
      <x:c r="E94" s="38" t="str">
        <x:v>玩家測試與改版</x:v>
      </x:c>
      <x:c r="F94" s="38" t="n">
        <x:v>3</x:v>
      </x:c>
      <x:c r="G94" s="38" t="str">
        <x:v>中文延伸／倫理安全</x:v>
      </x:c>
      <x:c r="H94" s="38" t="str">
        <x:v>玩家測試與改版 中文 教學 原理 安全 親子 Scratch coding game animation</x:v>
      </x:c>
      <x:c r="I94" s="38" t="str">
        <x:v>https://www.youtube.com/results?search_query=%E7%8E%A9%E5%AE%B6%E6%B8%AC%E8%A9%A6%E8%88%87%E6%94%B9%E7%89%88+%E4%B8%AD%E6%96%87+%E6%95%99%E5%AD%B8+%E5%8E%9F%E7%90%86+%E5%AE%89%E5%85%A8+%E8%A6%AA%E5%AD%90+Scratch+coding+game+animation</x:v>
      </x:c>
      <x:c r="J94" s="38" t="str">
        <x:v>課後延伸／親子討論</x:v>
      </x:c>
      <x:c r="K94" s="38" t="str">
        <x:v>6–15 分鐘</x:v>
      </x:c>
      <x:c r="L94" s="38" t="str">
        <x:v>補充應用、倫理、安全或真實案例；父子各說一個觀點</x:v>
      </x:c>
      <x:c r="M94" s="38" t="str">
        <x:v>□ 未挑選</x:v>
      </x:c>
      <x:c r="N94" s="38" t="str"/>
      <x:c r="O94" s="38" t="str"/>
    </x:row>
    <x:row r="95">
      <x:c r="A95" s="38" t="n">
        <x:v>32</x:v>
      </x:c>
      <x:c r="B95" s="38" t="str">
        <x:v>第 1 年</x:v>
      </x:c>
      <x:c r="C95" s="38" t="str">
        <x:v>M02 Scratch 創意遊戲與計算思維</x:v>
      </x:c>
      <x:c r="D95" s="38" t="n">
        <x:v>16</x:v>
      </x:c>
      <x:c r="E95" s="38" t="str">
        <x:v>Scratch 遊戲展</x:v>
      </x:c>
      <x:c r="F95" s="38" t="n">
        <x:v>1</x:v>
      </x:c>
      <x:c r="G95" s="38" t="str">
        <x:v>概念入門／官方優先</x:v>
      </x:c>
      <x:c r="H95" s="38" t="str">
        <x:v>Scratch 遊戲展 Scratch coding game animation beginner tutorial Scratch</x:v>
      </x:c>
      <x:c r="I95" s="38" t="str">
        <x:v>https://www.youtube.com/results?search_query=Scratch+%E9%81%8A%E6%88%B2%E5%B1%95+Scratch+coding+game+animation+beginner+tutorial+Scratch</x:v>
      </x:c>
      <x:c r="J95" s="38" t="str">
        <x:v>課前暖身</x:v>
      </x:c>
      <x:c r="K95" s="38" t="str">
        <x:v>5–12 分鐘</x:v>
      </x:c>
      <x:c r="L95" s="38" t="str">
        <x:v>先建立直覺；看完能說出 3 個關鍵詞</x:v>
      </x:c>
      <x:c r="M95" s="38" t="str">
        <x:v>□ 未挑選</x:v>
      </x:c>
      <x:c r="N95" s="38" t="str"/>
      <x:c r="O95" s="38" t="str"/>
    </x:row>
    <x:row r="96">
      <x:c r="A96" s="38" t="n">
        <x:v>32</x:v>
      </x:c>
      <x:c r="B96" s="38" t="str">
        <x:v>第 1 年</x:v>
      </x:c>
      <x:c r="C96" s="38" t="str">
        <x:v>M02 Scratch 創意遊戲與計算思維</x:v>
      </x:c>
      <x:c r="D96" s="38" t="n">
        <x:v>16</x:v>
      </x:c>
      <x:c r="E96" s="38" t="str">
        <x:v>Scratch 遊戲展</x:v>
      </x:c>
      <x:c r="F96" s="38" t="n">
        <x:v>2</x:v>
      </x:c>
      <x:c r="G96" s="38" t="str">
        <x:v>跟做實作／專案導向</x:v>
      </x:c>
      <x:c r="H96" s="38" t="str">
        <x:v>Scratch 遊戲展 練習作品介紹、操作教學、回饋與發布禮儀 hands on project for kids Scratch coding game animation</x:v>
      </x:c>
      <x:c r="I96" s="38" t="str">
        <x:v>https://www.youtube.com/results?search_query=Scratch+%E9%81%8A%E6%88%B2%E5%B1%95+%E7%B7%B4%E7%BF%92%E4%BD%9C%E5%93%81%E4%BB%8B%E7%B4%B9%E3%80%81%E6%93%8D%E4%BD%9C%E6%95%99%E5%AD%B8%E3%80%81%E5%9B%9E%E9%A5%8B%E8%88%87%E7%99%BC%E5%B8%83%E7%A6%AE%E5%84%80+hands+on+project+for+kids+Scratch+coding+game+animation</x:v>
      </x:c>
      <x:c r="J96" s="38" t="str">
        <x:v>課中實作參考</x:v>
      </x:c>
      <x:c r="K96" s="38" t="str">
        <x:v>8–20 分鐘</x:v>
      </x:c>
      <x:c r="L96" s="38" t="str">
        <x:v>優先找有畫面操作、步驟清楚、可暫停跟做的版本</x:v>
      </x:c>
      <x:c r="M96" s="38" t="str">
        <x:v>□ 未挑選</x:v>
      </x:c>
      <x:c r="N96" s="38" t="str"/>
      <x:c r="O96" s="38" t="str"/>
    </x:row>
    <x:row r="97">
      <x:c r="A97" s="38" t="n">
        <x:v>32</x:v>
      </x:c>
      <x:c r="B97" s="38" t="str">
        <x:v>第 1 年</x:v>
      </x:c>
      <x:c r="C97" s="38" t="str">
        <x:v>M02 Scratch 創意遊戲與計算思維</x:v>
      </x:c>
      <x:c r="D97" s="38" t="n">
        <x:v>16</x:v>
      </x:c>
      <x:c r="E97" s="38" t="str">
        <x:v>Scratch 遊戲展</x:v>
      </x:c>
      <x:c r="F97" s="38" t="n">
        <x:v>3</x:v>
      </x:c>
      <x:c r="G97" s="38" t="str">
        <x:v>中文延伸／倫理安全</x:v>
      </x:c>
      <x:c r="H97" s="38" t="str">
        <x:v>Scratch 遊戲展 中文 教學 原理 安全 親子 Scratch coding game animation</x:v>
      </x:c>
      <x:c r="I97" s="38" t="str">
        <x:v>https://www.youtube.com/results?search_query=Scratch+%E9%81%8A%E6%88%B2%E5%B1%95+%E4%B8%AD%E6%96%87+%E6%95%99%E5%AD%B8+%E5%8E%9F%E7%90%86+%E5%AE%89%E5%85%A8+%E8%A6%AA%E5%AD%90+Scratch+coding+game+animation</x:v>
      </x:c>
      <x:c r="J97" s="38" t="str">
        <x:v>課後延伸／親子討論</x:v>
      </x:c>
      <x:c r="K97" s="38" t="str">
        <x:v>6–15 分鐘</x:v>
      </x:c>
      <x:c r="L97" s="38" t="str">
        <x:v>補充應用、倫理、安全或真實案例；父子各說一個觀點</x:v>
      </x:c>
      <x:c r="M97" s="38" t="str">
        <x:v>□ 未挑選</x:v>
      </x:c>
      <x:c r="N97" s="38" t="str"/>
      <x:c r="O97" s="38" t="str"/>
    </x:row>
    <x:row r="98">
      <x:c r="A98" s="38" t="n">
        <x:v>33</x:v>
      </x:c>
      <x:c r="B98" s="38" t="str">
        <x:v>第 1 年</x:v>
      </x:c>
      <x:c r="C98" s="38" t="str">
        <x:v>M03 AI 創作與 YouTube 媒體工坊</x:v>
      </x:c>
      <x:c r="D98" s="38" t="n">
        <x:v>1</x:v>
      </x:c>
      <x:c r="E98" s="38" t="str">
        <x:v>AI 圖像提示詞：主角、場景、動作與構圖</x:v>
      </x:c>
      <x:c r="F98" s="38" t="n">
        <x:v>1</x:v>
      </x:c>
      <x:c r="G98" s="38" t="str">
        <x:v>概念入門／官方優先</x:v>
      </x:c>
      <x:c r="H98" s="38" t="str">
        <x:v>AI 圖像提示詞 主角、場景、動作與構圖 AI literacy media creation YouTube beginner tutorial Day</x:v>
      </x:c>
      <x:c r="I98" s="38" t="str">
        <x:v>https://www.youtube.com/results?search_query=AI+%E5%9C%96%E5%83%8F%E6%8F%90%E7%A4%BA%E8%A9%9E+%E4%B8%BB%E8%A7%92%E3%80%81%E5%A0%B4%E6%99%AF%E3%80%81%E5%8B%95%E4%BD%9C%E8%88%87%E6%A7%8B%E5%9C%96+AI+literacy+media+creation+YouTube+beginner+tutorial+Day</x:v>
      </x:c>
      <x:c r="J98" s="38" t="str">
        <x:v>課前暖身</x:v>
      </x:c>
      <x:c r="K98" s="38" t="str">
        <x:v>5–12 分鐘</x:v>
      </x:c>
      <x:c r="L98" s="38" t="str">
        <x:v>先建立直覺；看完能說出 3 個關鍵詞</x:v>
      </x:c>
      <x:c r="M98" s="38" t="str">
        <x:v>□ 未挑選</x:v>
      </x:c>
      <x:c r="N98" s="38" t="str"/>
      <x:c r="O98" s="38" t="str"/>
    </x:row>
    <x:row r="99">
      <x:c r="A99" s="38" t="n">
        <x:v>33</x:v>
      </x:c>
      <x:c r="B99" s="38" t="str">
        <x:v>第 1 年</x:v>
      </x:c>
      <x:c r="C99" s="38" t="str">
        <x:v>M03 AI 創作與 YouTube 媒體工坊</x:v>
      </x:c>
      <x:c r="D99" s="38" t="n">
        <x:v>1</x:v>
      </x:c>
      <x:c r="E99" s="38" t="str">
        <x:v>AI 圖像提示詞：主角、場景、動作與構圖</x:v>
      </x:c>
      <x:c r="F99" s="38" t="n">
        <x:v>2</x:v>
      </x:c>
      <x:c r="G99" s="38" t="str">
        <x:v>跟做實作／專案導向</x:v>
      </x:c>
      <x:c r="H99" s="38" t="str">
        <x:v>AI 圖像提示詞 主角、場景、動作與構圖 用具體視覺元素控制生成結果，而非只寫風格詞 hands on project for kids AI literacy media creation YouTube</x:v>
      </x:c>
      <x:c r="I99" s="38" t="str">
        <x:v>https://www.youtube.com/results?search_query=AI+%E5%9C%96%E5%83%8F%E6%8F%90%E7%A4%BA%E8%A9%9E+%E4%B8%BB%E8%A7%92%E3%80%81%E5%A0%B4%E6%99%AF%E3%80%81%E5%8B%95%E4%BD%9C%E8%88%87%E6%A7%8B%E5%9C%96+%E7%94%A8%E5%85%B7%E9%AB%94%E8%A6%96%E8%A6%BA%E5%85%83%E7%B4%A0%E6%8E%A7%E5%88%B6%E7%94%9F%E6%88%90%E7%B5%90%E6%9E%9C%EF%BC%8C%E8%80%8C%E9%9D%9E%E5%8F%AA%E5%AF%AB%E9%A2%A8%E6%A0%BC%E8%A9%9E+hands+on+project+for+kids+AI+literacy+media+creation+YouTube</x:v>
      </x:c>
      <x:c r="J99" s="38" t="str">
        <x:v>課中實作參考</x:v>
      </x:c>
      <x:c r="K99" s="38" t="str">
        <x:v>8–20 分鐘</x:v>
      </x:c>
      <x:c r="L99" s="38" t="str">
        <x:v>優先找有畫面操作、步驟清楚、可暫停跟做的版本</x:v>
      </x:c>
      <x:c r="M99" s="38" t="str">
        <x:v>□ 未挑選</x:v>
      </x:c>
      <x:c r="N99" s="38" t="str"/>
      <x:c r="O99" s="38" t="str"/>
    </x:row>
    <x:row r="100">
      <x:c r="A100" s="38" t="n">
        <x:v>33</x:v>
      </x:c>
      <x:c r="B100" s="38" t="str">
        <x:v>第 1 年</x:v>
      </x:c>
      <x:c r="C100" s="38" t="str">
        <x:v>M03 AI 創作與 YouTube 媒體工坊</x:v>
      </x:c>
      <x:c r="D100" s="38" t="n">
        <x:v>1</x:v>
      </x:c>
      <x:c r="E100" s="38" t="str">
        <x:v>AI 圖像提示詞：主角、場景、動作與構圖</x:v>
      </x:c>
      <x:c r="F100" s="38" t="n">
        <x:v>3</x:v>
      </x:c>
      <x:c r="G100" s="38" t="str">
        <x:v>中文延伸／倫理安全</x:v>
      </x:c>
      <x:c r="H100" s="38" t="str">
        <x:v>AI 圖像提示詞 主角、場景、動作與構圖 中文 教學 原理 安全 親子 AI literacy media creation YouTube</x:v>
      </x:c>
      <x:c r="I100" s="38" t="str">
        <x:v>https://www.youtube.com/results?search_query=AI+%E5%9C%96%E5%83%8F%E6%8F%90%E7%A4%BA%E8%A9%9E+%E4%B8%BB%E8%A7%92%E3%80%81%E5%A0%B4%E6%99%AF%E3%80%81%E5%8B%95%E4%BD%9C%E8%88%87%E6%A7%8B%E5%9C%96+%E4%B8%AD%E6%96%87+%E6%95%99%E5%AD%B8+%E5%8E%9F%E7%90%86+%E5%AE%89%E5%85%A8+%E8%A6%AA%E5%AD%90+AI+literacy+media+creation+YouTube</x:v>
      </x:c>
      <x:c r="J100" s="38" t="str">
        <x:v>課後延伸／親子討論</x:v>
      </x:c>
      <x:c r="K100" s="38" t="str">
        <x:v>6–15 分鐘</x:v>
      </x:c>
      <x:c r="L100" s="38" t="str">
        <x:v>補充應用、倫理、安全或真實案例；父子各說一個觀點</x:v>
      </x:c>
      <x:c r="M100" s="38" t="str">
        <x:v>□ 未挑選</x:v>
      </x:c>
      <x:c r="N100" s="38" t="str"/>
      <x:c r="O100" s="38" t="str"/>
    </x:row>
    <x:row r="101">
      <x:c r="A101" s="38" t="n">
        <x:v>34</x:v>
      </x:c>
      <x:c r="B101" s="38" t="str">
        <x:v>第 1 年</x:v>
      </x:c>
      <x:c r="C101" s="38" t="str">
        <x:v>M03 AI 創作與 YouTube 媒體工坊</x:v>
      </x:c>
      <x:c r="D101" s="38" t="n">
        <x:v>2</x:v>
      </x:c>
      <x:c r="E101" s="38" t="str">
        <x:v>著作權、引用與『我真的能用嗎』</x:v>
      </x:c>
      <x:c r="F101" s="38" t="n">
        <x:v>1</x:v>
      </x:c>
      <x:c r="G101" s="38" t="str">
        <x:v>概念入門／官方優先</x:v>
      </x:c>
      <x:c r="H101" s="38" t="str">
        <x:v>著作權、引用與『我真的能用嗎』 AI literacy media creation YouTube beginner tutorial Day</x:v>
      </x:c>
      <x:c r="I101" s="38" t="str">
        <x:v>https://www.youtube.com/results?search_query=%E8%91%97%E4%BD%9C%E6%AC%8A%E3%80%81%E5%BC%95%E7%94%A8%E8%88%87%E3%80%8E%E6%88%91%E7%9C%9F%E7%9A%84%E8%83%BD%E7%94%A8%E5%97%8E%E3%80%8F+AI+literacy+media+creation+YouTube+beginner+tutorial+Day</x:v>
      </x:c>
      <x:c r="J101" s="38" t="str">
        <x:v>課前暖身</x:v>
      </x:c>
      <x:c r="K101" s="38" t="str">
        <x:v>5–12 分鐘</x:v>
      </x:c>
      <x:c r="L101" s="38" t="str">
        <x:v>先建立直覺；看完能說出 3 個關鍵詞</x:v>
      </x:c>
      <x:c r="M101" s="38" t="str">
        <x:v>□ 未挑選</x:v>
      </x:c>
      <x:c r="N101" s="38" t="str"/>
      <x:c r="O101" s="38" t="str"/>
    </x:row>
    <x:row r="102">
      <x:c r="A102" s="38" t="n">
        <x:v>34</x:v>
      </x:c>
      <x:c r="B102" s="38" t="str">
        <x:v>第 1 年</x:v>
      </x:c>
      <x:c r="C102" s="38" t="str">
        <x:v>M03 AI 創作與 YouTube 媒體工坊</x:v>
      </x:c>
      <x:c r="D102" s="38" t="n">
        <x:v>2</x:v>
      </x:c>
      <x:c r="E102" s="38" t="str">
        <x:v>著作權、引用與『我真的能用嗎』</x:v>
      </x:c>
      <x:c r="F102" s="38" t="n">
        <x:v>2</x:v>
      </x:c>
      <x:c r="G102" s="38" t="str">
        <x:v>跟做實作／專案導向</x:v>
      </x:c>
      <x:c r="H102" s="38" t="str">
        <x:v>著作權、引用與『我真的能用嗎』 理解原創、授權、合理使用、素材來源與平台規範 hands on project for kids AI literacy media creation YouTube</x:v>
      </x:c>
      <x:c r="I102" s="38" t="str">
        <x:v>https://www.youtube.com/results?search_query=%E8%91%97%E4%BD%9C%E6%AC%8A%E3%80%81%E5%BC%95%E7%94%A8%E8%88%87%E3%80%8E%E6%88%91%E7%9C%9F%E7%9A%84%E8%83%BD%E7%94%A8%E5%97%8E%E3%80%8F+%E7%90%86%E8%A7%A3%E5%8E%9F%E5%89%B5%E3%80%81%E6%8E%88%E6%AC%8A%E3%80%81%E5%90%88%E7%90%86%E4%BD%BF%E7%94%A8%E3%80%81%E7%B4%A0%E6%9D%90%E4%BE%86%E6%BA%90%E8%88%87%E5%B9%B3%E5%8F%B0%E8%A6%8F%E7%AF%84+hands+on+project+for+kids+AI+literacy+media+creation+YouTube</x:v>
      </x:c>
      <x:c r="J102" s="38" t="str">
        <x:v>課中實作參考</x:v>
      </x:c>
      <x:c r="K102" s="38" t="str">
        <x:v>8–20 分鐘</x:v>
      </x:c>
      <x:c r="L102" s="38" t="str">
        <x:v>優先找有畫面操作、步驟清楚、可暫停跟做的版本</x:v>
      </x:c>
      <x:c r="M102" s="38" t="str">
        <x:v>□ 未挑選</x:v>
      </x:c>
      <x:c r="N102" s="38" t="str"/>
      <x:c r="O102" s="38" t="str"/>
    </x:row>
    <x:row r="103">
      <x:c r="A103" s="38" t="n">
        <x:v>34</x:v>
      </x:c>
      <x:c r="B103" s="38" t="str">
        <x:v>第 1 年</x:v>
      </x:c>
      <x:c r="C103" s="38" t="str">
        <x:v>M03 AI 創作與 YouTube 媒體工坊</x:v>
      </x:c>
      <x:c r="D103" s="38" t="n">
        <x:v>2</x:v>
      </x:c>
      <x:c r="E103" s="38" t="str">
        <x:v>著作權、引用與『我真的能用嗎』</x:v>
      </x:c>
      <x:c r="F103" s="38" t="n">
        <x:v>3</x:v>
      </x:c>
      <x:c r="G103" s="38" t="str">
        <x:v>中文延伸／倫理安全</x:v>
      </x:c>
      <x:c r="H103" s="38" t="str">
        <x:v>著作權、引用與『我真的能用嗎』 中文 教學 原理 安全 親子 AI literacy media creation YouTube</x:v>
      </x:c>
      <x:c r="I103" s="38" t="str">
        <x:v>https://www.youtube.com/results?search_query=%E8%91%97%E4%BD%9C%E6%AC%8A%E3%80%81%E5%BC%95%E7%94%A8%E8%88%87%E3%80%8E%E6%88%91%E7%9C%9F%E7%9A%84%E8%83%BD%E7%94%A8%E5%97%8E%E3%80%8F+%E4%B8%AD%E6%96%87+%E6%95%99%E5%AD%B8+%E5%8E%9F%E7%90%86+%E5%AE%89%E5%85%A8+%E8%A6%AA%E5%AD%90+AI+literacy+media+creation+YouTube</x:v>
      </x:c>
      <x:c r="J103" s="38" t="str">
        <x:v>課後延伸／親子討論</x:v>
      </x:c>
      <x:c r="K103" s="38" t="str">
        <x:v>6–15 分鐘</x:v>
      </x:c>
      <x:c r="L103" s="38" t="str">
        <x:v>補充應用、倫理、安全或真實案例；父子各說一個觀點</x:v>
      </x:c>
      <x:c r="M103" s="38" t="str">
        <x:v>□ 未挑選</x:v>
      </x:c>
      <x:c r="N103" s="38" t="str"/>
      <x:c r="O103" s="38" t="str"/>
    </x:row>
    <x:row r="104">
      <x:c r="A104" s="38" t="n">
        <x:v>35</x:v>
      </x:c>
      <x:c r="B104" s="38" t="str">
        <x:v>第 1 年</x:v>
      </x:c>
      <x:c r="C104" s="38" t="str">
        <x:v>M03 AI 創作與 YouTube 媒體工坊</x:v>
      </x:c>
      <x:c r="D104" s="38" t="n">
        <x:v>3</x:v>
      </x:c>
      <x:c r="E104" s="38" t="str">
        <x:v>AI 幫忙想故事，但人類當導演</x:v>
      </x:c>
      <x:c r="F104" s="38" t="n">
        <x:v>1</x:v>
      </x:c>
      <x:c r="G104" s="38" t="str">
        <x:v>概念入門／官方優先</x:v>
      </x:c>
      <x:c r="H104" s="38" t="str">
        <x:v>AI 幫忙想故事，但人類當導演 AI literacy media creation YouTube beginner tutorial Day</x:v>
      </x:c>
      <x:c r="I104" s="38" t="str">
        <x:v>https://www.youtube.com/results?search_query=AI+%E5%B9%AB%E5%BF%99%E6%83%B3%E6%95%85%E4%BA%8B%EF%BC%8C%E4%BD%86%E4%BA%BA%E9%A1%9E%E7%95%B6%E5%B0%8E%E6%BC%94+AI+literacy+media+creation+YouTube+beginner+tutorial+Day</x:v>
      </x:c>
      <x:c r="J104" s="38" t="str">
        <x:v>課前暖身</x:v>
      </x:c>
      <x:c r="K104" s="38" t="str">
        <x:v>5–12 分鐘</x:v>
      </x:c>
      <x:c r="L104" s="38" t="str">
        <x:v>先建立直覺；看完能說出 3 個關鍵詞</x:v>
      </x:c>
      <x:c r="M104" s="38" t="str">
        <x:v>□ 未挑選</x:v>
      </x:c>
      <x:c r="N104" s="38" t="str"/>
      <x:c r="O104" s="38" t="str"/>
    </x:row>
    <x:row r="105">
      <x:c r="A105" s="38" t="n">
        <x:v>35</x:v>
      </x:c>
      <x:c r="B105" s="38" t="str">
        <x:v>第 1 年</x:v>
      </x:c>
      <x:c r="C105" s="38" t="str">
        <x:v>M03 AI 創作與 YouTube 媒體工坊</x:v>
      </x:c>
      <x:c r="D105" s="38" t="n">
        <x:v>3</x:v>
      </x:c>
      <x:c r="E105" s="38" t="str">
        <x:v>AI 幫忙想故事，但人類當導演</x:v>
      </x:c>
      <x:c r="F105" s="38" t="n">
        <x:v>2</x:v>
      </x:c>
      <x:c r="G105" s="38" t="str">
        <x:v>跟做實作／專案導向</x:v>
      </x:c>
      <x:c r="H105" s="38" t="str">
        <x:v>AI 幫忙想故事，但人類當導演 用 AI 腦力激盪，保留人類選擇、改寫與責任 hands on project for kids AI literacy media creation</x:v>
      </x:c>
      <x:c r="I105" s="38" t="str">
        <x:v>https://www.youtube.com/results?search_query=AI+%E5%B9%AB%E5%BF%99%E6%83%B3%E6%95%85%E4%BA%8B%EF%BC%8C%E4%BD%86%E4%BA%BA%E9%A1%9E%E7%95%B6%E5%B0%8E%E6%BC%94+%E7%94%A8+AI+%E8%85%A6%E5%8A%9B%E6%BF%80%E7%9B%AA%EF%BC%8C%E4%BF%9D%E7%95%99%E4%BA%BA%E9%A1%9E%E9%81%B8%E6%93%87%E3%80%81%E6%94%B9%E5%AF%AB%E8%88%87%E8%B2%AC%E4%BB%BB+hands+on+project+for+kids+AI+literacy+media+creation+YouTube</x:v>
      </x:c>
      <x:c r="J105" s="38" t="str">
        <x:v>課中實作參考</x:v>
      </x:c>
      <x:c r="K105" s="38" t="str">
        <x:v>8–20 分鐘</x:v>
      </x:c>
      <x:c r="L105" s="38" t="str">
        <x:v>優先找有畫面操作、步驟清楚、可暫停跟做的版本</x:v>
      </x:c>
      <x:c r="M105" s="38" t="str">
        <x:v>□ 未挑選</x:v>
      </x:c>
      <x:c r="N105" s="38" t="str"/>
      <x:c r="O105" s="38" t="str"/>
    </x:row>
    <x:row r="106">
      <x:c r="A106" s="38" t="n">
        <x:v>35</x:v>
      </x:c>
      <x:c r="B106" s="38" t="str">
        <x:v>第 1 年</x:v>
      </x:c>
      <x:c r="C106" s="38" t="str">
        <x:v>M03 AI 創作與 YouTube 媒體工坊</x:v>
      </x:c>
      <x:c r="D106" s="38" t="n">
        <x:v>3</x:v>
      </x:c>
      <x:c r="E106" s="38" t="str">
        <x:v>AI 幫忙想故事，但人類當導演</x:v>
      </x:c>
      <x:c r="F106" s="38" t="n">
        <x:v>3</x:v>
      </x:c>
      <x:c r="G106" s="38" t="str">
        <x:v>中文延伸／倫理安全</x:v>
      </x:c>
      <x:c r="H106" s="38" t="str">
        <x:v>AI 幫忙想故事，但人類當導演 中文 教學 原理 安全 親子 AI literacy media creation YouTube</x:v>
      </x:c>
      <x:c r="I106" s="38" t="str">
        <x:v>https://www.youtube.com/results?search_query=AI+%E5%B9%AB%E5%BF%99%E6%83%B3%E6%95%85%E4%BA%8B%EF%BC%8C%E4%BD%86%E4%BA%BA%E9%A1%9E%E7%95%B6%E5%B0%8E%E6%BC%94+%E4%B8%AD%E6%96%87+%E6%95%99%E5%AD%B8+%E5%8E%9F%E7%90%86+%E5%AE%89%E5%85%A8+%E8%A6%AA%E5%AD%90+AI+literacy+media+creation+YouTube</x:v>
      </x:c>
      <x:c r="J106" s="38" t="str">
        <x:v>課後延伸／親子討論</x:v>
      </x:c>
      <x:c r="K106" s="38" t="str">
        <x:v>6–15 分鐘</x:v>
      </x:c>
      <x:c r="L106" s="38" t="str">
        <x:v>補充應用、倫理、安全或真實案例；父子各說一個觀點</x:v>
      </x:c>
      <x:c r="M106" s="38" t="str">
        <x:v>□ 未挑選</x:v>
      </x:c>
      <x:c r="N106" s="38" t="str"/>
      <x:c r="O106" s="38" t="str"/>
    </x:row>
    <x:row r="107">
      <x:c r="A107" s="38" t="n">
        <x:v>36</x:v>
      </x:c>
      <x:c r="B107" s="38" t="str">
        <x:v>第 1 年</x:v>
      </x:c>
      <x:c r="C107" s="38" t="str">
        <x:v>M03 AI 創作與 YouTube 媒體工坊</x:v>
      </x:c>
      <x:c r="D107" s="38" t="n">
        <x:v>4</x:v>
      </x:c>
      <x:c r="E107" s="38" t="str">
        <x:v>角色設定與世界觀聖經</x:v>
      </x:c>
      <x:c r="F107" s="38" t="n">
        <x:v>1</x:v>
      </x:c>
      <x:c r="G107" s="38" t="str">
        <x:v>概念入門／官方優先</x:v>
      </x:c>
      <x:c r="H107" s="38" t="str">
        <x:v>角色設定與世界觀聖經 AI literacy media creation YouTube beginner tutorial Day</x:v>
      </x:c>
      <x:c r="I107" s="38" t="str">
        <x:v>https://www.youtube.com/results?search_query=%E8%A7%92%E8%89%B2%E8%A8%AD%E5%AE%9A%E8%88%87%E4%B8%96%E7%95%8C%E8%A7%80%E8%81%96%E7%B6%93+AI+literacy+media+creation+YouTube+beginner+tutorial+Day</x:v>
      </x:c>
      <x:c r="J107" s="38" t="str">
        <x:v>課前暖身</x:v>
      </x:c>
      <x:c r="K107" s="38" t="str">
        <x:v>5–12 分鐘</x:v>
      </x:c>
      <x:c r="L107" s="38" t="str">
        <x:v>先建立直覺；看完能說出 3 個關鍵詞</x:v>
      </x:c>
      <x:c r="M107" s="38" t="str">
        <x:v>□ 未挑選</x:v>
      </x:c>
      <x:c r="N107" s="38" t="str"/>
      <x:c r="O107" s="38" t="str"/>
    </x:row>
    <x:row r="108">
      <x:c r="A108" s="38" t="n">
        <x:v>36</x:v>
      </x:c>
      <x:c r="B108" s="38" t="str">
        <x:v>第 1 年</x:v>
      </x:c>
      <x:c r="C108" s="38" t="str">
        <x:v>M03 AI 創作與 YouTube 媒體工坊</x:v>
      </x:c>
      <x:c r="D108" s="38" t="n">
        <x:v>4</x:v>
      </x:c>
      <x:c r="E108" s="38" t="str">
        <x:v>角色設定與世界觀聖經</x:v>
      </x:c>
      <x:c r="F108" s="38" t="n">
        <x:v>2</x:v>
      </x:c>
      <x:c r="G108" s="38" t="str">
        <x:v>跟做實作／專案導向</x:v>
      </x:c>
      <x:c r="H108" s="38" t="str">
        <x:v>角色設定與世界觀聖經 建立角色目標、限制、關係、規則與一致性 hands on project for kids AI literacy media creation YouTube</x:v>
      </x:c>
      <x:c r="I108" s="38" t="str">
        <x:v>https://www.youtube.com/results?search_query=%E8%A7%92%E8%89%B2%E8%A8%AD%E5%AE%9A%E8%88%87%E4%B8%96%E7%95%8C%E8%A7%80%E8%81%96%E7%B6%93+%E5%BB%BA%E7%AB%8B%E8%A7%92%E8%89%B2%E7%9B%AE%E6%A8%99%E3%80%81%E9%99%90%E5%88%B6%E3%80%81%E9%97%9C%E4%BF%82%E3%80%81%E8%A6%8F%E5%89%87%E8%88%87%E4%B8%80%E8%87%B4%E6%80%A7+hands+on+project+for+kids+AI+literacy+media+creation+YouTube</x:v>
      </x:c>
      <x:c r="J108" s="38" t="str">
        <x:v>課中實作參考</x:v>
      </x:c>
      <x:c r="K108" s="38" t="str">
        <x:v>8–20 分鐘</x:v>
      </x:c>
      <x:c r="L108" s="38" t="str">
        <x:v>優先找有畫面操作、步驟清楚、可暫停跟做的版本</x:v>
      </x:c>
      <x:c r="M108" s="38" t="str">
        <x:v>□ 未挑選</x:v>
      </x:c>
      <x:c r="N108" s="38" t="str"/>
      <x:c r="O108" s="38" t="str"/>
    </x:row>
    <x:row r="109">
      <x:c r="A109" s="38" t="n">
        <x:v>36</x:v>
      </x:c>
      <x:c r="B109" s="38" t="str">
        <x:v>第 1 年</x:v>
      </x:c>
      <x:c r="C109" s="38" t="str">
        <x:v>M03 AI 創作與 YouTube 媒體工坊</x:v>
      </x:c>
      <x:c r="D109" s="38" t="n">
        <x:v>4</x:v>
      </x:c>
      <x:c r="E109" s="38" t="str">
        <x:v>角色設定與世界觀聖經</x:v>
      </x:c>
      <x:c r="F109" s="38" t="n">
        <x:v>3</x:v>
      </x:c>
      <x:c r="G109" s="38" t="str">
        <x:v>中文延伸／倫理安全</x:v>
      </x:c>
      <x:c r="H109" s="38" t="str">
        <x:v>角色設定與世界觀聖經 中文 教學 原理 安全 親子 AI literacy media creation YouTube</x:v>
      </x:c>
      <x:c r="I109" s="38" t="str">
        <x:v>https://www.youtube.com/results?search_query=%E8%A7%92%E8%89%B2%E8%A8%AD%E5%AE%9A%E8%88%87%E4%B8%96%E7%95%8C%E8%A7%80%E8%81%96%E7%B6%93+%E4%B8%AD%E6%96%87+%E6%95%99%E5%AD%B8+%E5%8E%9F%E7%90%86+%E5%AE%89%E5%85%A8+%E8%A6%AA%E5%AD%90+AI+literacy+media+creation+YouTube</x:v>
      </x:c>
      <x:c r="J109" s="38" t="str">
        <x:v>課後延伸／親子討論</x:v>
      </x:c>
      <x:c r="K109" s="38" t="str">
        <x:v>6–15 分鐘</x:v>
      </x:c>
      <x:c r="L109" s="38" t="str">
        <x:v>補充應用、倫理、安全或真實案例；父子各說一個觀點</x:v>
      </x:c>
      <x:c r="M109" s="38" t="str">
        <x:v>□ 未挑選</x:v>
      </x:c>
      <x:c r="N109" s="38" t="str"/>
      <x:c r="O109" s="38" t="str"/>
    </x:row>
    <x:row r="110">
      <x:c r="A110" s="38" t="n">
        <x:v>37</x:v>
      </x:c>
      <x:c r="B110" s="38" t="str">
        <x:v>第 1 年</x:v>
      </x:c>
      <x:c r="C110" s="38" t="str">
        <x:v>M03 AI 創作與 YouTube 媒體工坊</x:v>
      </x:c>
      <x:c r="D110" s="38" t="n">
        <x:v>5</x:v>
      </x:c>
      <x:c r="E110" s="38" t="str">
        <x:v>好聲音：距離、噪音、情緒與停頓</x:v>
      </x:c>
      <x:c r="F110" s="38" t="n">
        <x:v>1</x:v>
      </x:c>
      <x:c r="G110" s="38" t="str">
        <x:v>概念入門／官方優先</x:v>
      </x:c>
      <x:c r="H110" s="38" t="str">
        <x:v>好聲音 距離、噪音、情緒與停頓 AI literacy media creation YouTube beginner tutorial Day</x:v>
      </x:c>
      <x:c r="I110" s="38" t="str">
        <x:v>https://www.youtube.com/results?search_query=%E5%A5%BD%E8%81%B2%E9%9F%B3+%E8%B7%9D%E9%9B%A2%E3%80%81%E5%99%AA%E9%9F%B3%E3%80%81%E6%83%85%E7%B7%92%E8%88%87%E5%81%9C%E9%A0%93+AI+literacy+media+creation+YouTube+beginner+tutorial+Day</x:v>
      </x:c>
      <x:c r="J110" s="38" t="str">
        <x:v>課前暖身</x:v>
      </x:c>
      <x:c r="K110" s="38" t="str">
        <x:v>5–12 分鐘</x:v>
      </x:c>
      <x:c r="L110" s="38" t="str">
        <x:v>先建立直覺；看完能說出 3 個關鍵詞</x:v>
      </x:c>
      <x:c r="M110" s="38" t="str">
        <x:v>□ 未挑選</x:v>
      </x:c>
      <x:c r="N110" s="38" t="str"/>
      <x:c r="O110" s="38" t="str"/>
    </x:row>
    <x:row r="111">
      <x:c r="A111" s="38" t="n">
        <x:v>37</x:v>
      </x:c>
      <x:c r="B111" s="38" t="str">
        <x:v>第 1 年</x:v>
      </x:c>
      <x:c r="C111" s="38" t="str">
        <x:v>M03 AI 創作與 YouTube 媒體工坊</x:v>
      </x:c>
      <x:c r="D111" s="38" t="n">
        <x:v>5</x:v>
      </x:c>
      <x:c r="E111" s="38" t="str">
        <x:v>好聲音：距離、噪音、情緒與停頓</x:v>
      </x:c>
      <x:c r="F111" s="38" t="n">
        <x:v>2</x:v>
      </x:c>
      <x:c r="G111" s="38" t="str">
        <x:v>跟做實作／專案導向</x:v>
      </x:c>
      <x:c r="H111" s="38" t="str">
        <x:v>好聲音 距離、噪音、情緒與停頓 理解收音環境、麥克風距離、音量與口語節奏 hands on project for kids AI literacy media creation YouTube</x:v>
      </x:c>
      <x:c r="I111" s="38" t="str">
        <x:v>https://www.youtube.com/results?search_query=%E5%A5%BD%E8%81%B2%E9%9F%B3+%E8%B7%9D%E9%9B%A2%E3%80%81%E5%99%AA%E9%9F%B3%E3%80%81%E6%83%85%E7%B7%92%E8%88%87%E5%81%9C%E9%A0%93+%E7%90%86%E8%A7%A3%E6%94%B6%E9%9F%B3%E7%92%B0%E5%A2%83%E3%80%81%E9%BA%A5%E5%85%8B%E9%A2%A8%E8%B7%9D%E9%9B%A2%E3%80%81%E9%9F%B3%E9%87%8F%E8%88%87%E5%8F%A3%E8%AA%9E%E7%AF%80%E5%A5%8F+hands+on+project+for+kids+AI+literacy+media+creation+YouTube</x:v>
      </x:c>
      <x:c r="J111" s="38" t="str">
        <x:v>課中實作參考</x:v>
      </x:c>
      <x:c r="K111" s="38" t="str">
        <x:v>8–20 分鐘</x:v>
      </x:c>
      <x:c r="L111" s="38" t="str">
        <x:v>優先找有畫面操作、步驟清楚、可暫停跟做的版本</x:v>
      </x:c>
      <x:c r="M111" s="38" t="str">
        <x:v>□ 未挑選</x:v>
      </x:c>
      <x:c r="N111" s="38" t="str"/>
      <x:c r="O111" s="38" t="str"/>
    </x:row>
    <x:row r="112">
      <x:c r="A112" s="38" t="n">
        <x:v>37</x:v>
      </x:c>
      <x:c r="B112" s="38" t="str">
        <x:v>第 1 年</x:v>
      </x:c>
      <x:c r="C112" s="38" t="str">
        <x:v>M03 AI 創作與 YouTube 媒體工坊</x:v>
      </x:c>
      <x:c r="D112" s="38" t="n">
        <x:v>5</x:v>
      </x:c>
      <x:c r="E112" s="38" t="str">
        <x:v>好聲音：距離、噪音、情緒與停頓</x:v>
      </x:c>
      <x:c r="F112" s="38" t="n">
        <x:v>3</x:v>
      </x:c>
      <x:c r="G112" s="38" t="str">
        <x:v>中文延伸／倫理安全</x:v>
      </x:c>
      <x:c r="H112" s="38" t="str">
        <x:v>好聲音 距離、噪音、情緒與停頓 中文 教學 原理 安全 親子 AI literacy media creation YouTube</x:v>
      </x:c>
      <x:c r="I112" s="38" t="str">
        <x:v>https://www.youtube.com/results?search_query=%E5%A5%BD%E8%81%B2%E9%9F%B3+%E8%B7%9D%E9%9B%A2%E3%80%81%E5%99%AA%E9%9F%B3%E3%80%81%E6%83%85%E7%B7%92%E8%88%87%E5%81%9C%E9%A0%93+%E4%B8%AD%E6%96%87+%E6%95%99%E5%AD%B8+%E5%8E%9F%E7%90%86+%E5%AE%89%E5%85%A8+%E8%A6%AA%E5%AD%90+AI+literacy+media+creation+YouTube</x:v>
      </x:c>
      <x:c r="J112" s="38" t="str">
        <x:v>課後延伸／親子討論</x:v>
      </x:c>
      <x:c r="K112" s="38" t="str">
        <x:v>6–15 分鐘</x:v>
      </x:c>
      <x:c r="L112" s="38" t="str">
        <x:v>補充應用、倫理、安全或真實案例；父子各說一個觀點</x:v>
      </x:c>
      <x:c r="M112" s="38" t="str">
        <x:v>□ 未挑選</x:v>
      </x:c>
      <x:c r="N112" s="38" t="str"/>
      <x:c r="O112" s="38" t="str"/>
    </x:row>
    <x:row r="113">
      <x:c r="A113" s="38" t="n">
        <x:v>38</x:v>
      </x:c>
      <x:c r="B113" s="38" t="str">
        <x:v>第 1 年</x:v>
      </x:c>
      <x:c r="C113" s="38" t="str">
        <x:v>M03 AI 創作與 YouTube 媒體工坊</x:v>
      </x:c>
      <x:c r="D113" s="38" t="n">
        <x:v>6</x:v>
      </x:c>
      <x:c r="E113" s="38" t="str">
        <x:v>錄音轉文字：機器聽懂了多少</x:v>
      </x:c>
      <x:c r="F113" s="38" t="n">
        <x:v>1</x:v>
      </x:c>
      <x:c r="G113" s="38" t="str">
        <x:v>概念入門／官方優先</x:v>
      </x:c>
      <x:c r="H113" s="38" t="str">
        <x:v>錄音轉文字 機器聽懂了多少 AI literacy media creation YouTube beginner tutorial Day</x:v>
      </x:c>
      <x:c r="I113" s="38" t="str">
        <x:v>https://www.youtube.com/results?search_query=%E9%8C%84%E9%9F%B3%E8%BD%89%E6%96%87%E5%AD%97+%E6%A9%9F%E5%99%A8%E8%81%BD%E6%87%82%E4%BA%86%E5%A4%9A%E5%B0%91+AI+literacy+media+creation+YouTube+beginner+tutorial+Day</x:v>
      </x:c>
      <x:c r="J113" s="38" t="str">
        <x:v>課前暖身</x:v>
      </x:c>
      <x:c r="K113" s="38" t="str">
        <x:v>5–12 分鐘</x:v>
      </x:c>
      <x:c r="L113" s="38" t="str">
        <x:v>先建立直覺；看完能說出 3 個關鍵詞</x:v>
      </x:c>
      <x:c r="M113" s="38" t="str">
        <x:v>□ 未挑選</x:v>
      </x:c>
      <x:c r="N113" s="38" t="str"/>
      <x:c r="O113" s="38" t="str"/>
    </x:row>
    <x:row r="114">
      <x:c r="A114" s="38" t="n">
        <x:v>38</x:v>
      </x:c>
      <x:c r="B114" s="38" t="str">
        <x:v>第 1 年</x:v>
      </x:c>
      <x:c r="C114" s="38" t="str">
        <x:v>M03 AI 創作與 YouTube 媒體工坊</x:v>
      </x:c>
      <x:c r="D114" s="38" t="n">
        <x:v>6</x:v>
      </x:c>
      <x:c r="E114" s="38" t="str">
        <x:v>錄音轉文字：機器聽懂了多少</x:v>
      </x:c>
      <x:c r="F114" s="38" t="n">
        <x:v>2</x:v>
      </x:c>
      <x:c r="G114" s="38" t="str">
        <x:v>跟做實作／專案導向</x:v>
      </x:c>
      <x:c r="H114" s="38" t="str">
        <x:v>錄音轉文字 機器聽懂了多少 理解語音辨識、專有名詞、斷句與人工校正 hands on project for kids AI literacy media creation YouTube</x:v>
      </x:c>
      <x:c r="I114" s="38" t="str">
        <x:v>https://www.youtube.com/results?search_query=%E9%8C%84%E9%9F%B3%E8%BD%89%E6%96%87%E5%AD%97+%E6%A9%9F%E5%99%A8%E8%81%BD%E6%87%82%E4%BA%86%E5%A4%9A%E5%B0%91+%E7%90%86%E8%A7%A3%E8%AA%9E%E9%9F%B3%E8%BE%A8%E8%AD%98%E3%80%81%E5%B0%88%E6%9C%89%E5%90%8D%E8%A9%9E%E3%80%81%E6%96%B7%E5%8F%A5%E8%88%87%E4%BA%BA%E5%B7%A5%E6%A0%A1%E6%AD%A3+hands+on+project+for+kids+AI+literacy+media+creation+YouTube</x:v>
      </x:c>
      <x:c r="J114" s="38" t="str">
        <x:v>課中實作參考</x:v>
      </x:c>
      <x:c r="K114" s="38" t="str">
        <x:v>8–20 分鐘</x:v>
      </x:c>
      <x:c r="L114" s="38" t="str">
        <x:v>優先找有畫面操作、步驟清楚、可暫停跟做的版本</x:v>
      </x:c>
      <x:c r="M114" s="38" t="str">
        <x:v>□ 未挑選</x:v>
      </x:c>
      <x:c r="N114" s="38" t="str"/>
      <x:c r="O114" s="38" t="str"/>
    </x:row>
    <x:row r="115">
      <x:c r="A115" s="38" t="n">
        <x:v>38</x:v>
      </x:c>
      <x:c r="B115" s="38" t="str">
        <x:v>第 1 年</x:v>
      </x:c>
      <x:c r="C115" s="38" t="str">
        <x:v>M03 AI 創作與 YouTube 媒體工坊</x:v>
      </x:c>
      <x:c r="D115" s="38" t="n">
        <x:v>6</x:v>
      </x:c>
      <x:c r="E115" s="38" t="str">
        <x:v>錄音轉文字：機器聽懂了多少</x:v>
      </x:c>
      <x:c r="F115" s="38" t="n">
        <x:v>3</x:v>
      </x:c>
      <x:c r="G115" s="38" t="str">
        <x:v>中文延伸／倫理安全</x:v>
      </x:c>
      <x:c r="H115" s="38" t="str">
        <x:v>錄音轉文字 機器聽懂了多少 中文 教學 原理 安全 親子 AI literacy media creation YouTube</x:v>
      </x:c>
      <x:c r="I115" s="38" t="str">
        <x:v>https://www.youtube.com/results?search_query=%E9%8C%84%E9%9F%B3%E8%BD%89%E6%96%87%E5%AD%97+%E6%A9%9F%E5%99%A8%E8%81%BD%E6%87%82%E4%BA%86%E5%A4%9A%E5%B0%91+%E4%B8%AD%E6%96%87+%E6%95%99%E5%AD%B8+%E5%8E%9F%E7%90%86+%E5%AE%89%E5%85%A8+%E8%A6%AA%E5%AD%90+AI+literacy+media+creation+YouTube</x:v>
      </x:c>
      <x:c r="J115" s="38" t="str">
        <x:v>課後延伸／親子討論</x:v>
      </x:c>
      <x:c r="K115" s="38" t="str">
        <x:v>6–15 分鐘</x:v>
      </x:c>
      <x:c r="L115" s="38" t="str">
        <x:v>補充應用、倫理、安全或真實案例；父子各說一個觀點</x:v>
      </x:c>
      <x:c r="M115" s="38" t="str">
        <x:v>□ 未挑選</x:v>
      </x:c>
      <x:c r="N115" s="38" t="str"/>
      <x:c r="O115" s="38" t="str"/>
    </x:row>
    <x:row r="116">
      <x:c r="A116" s="38" t="n">
        <x:v>39</x:v>
      </x:c>
      <x:c r="B116" s="38" t="str">
        <x:v>第 1 年</x:v>
      </x:c>
      <x:c r="C116" s="38" t="str">
        <x:v>M03 AI 創作與 YouTube 媒體工坊</x:v>
      </x:c>
      <x:c r="D116" s="38" t="n">
        <x:v>7</x:v>
      </x:c>
      <x:c r="E116" s="38" t="str">
        <x:v>把口語整理成能讀的文字稿</x:v>
      </x:c>
      <x:c r="F116" s="38" t="n">
        <x:v>1</x:v>
      </x:c>
      <x:c r="G116" s="38" t="str">
        <x:v>概念入門／官方優先</x:v>
      </x:c>
      <x:c r="H116" s="38" t="str">
        <x:v>把口語整理成能讀的文字稿 AI literacy media creation YouTube beginner tutorial Day</x:v>
      </x:c>
      <x:c r="I116" s="38" t="str">
        <x:v>https://www.youtube.com/results?search_query=%E6%8A%8A%E5%8F%A3%E8%AA%9E%E6%95%B4%E7%90%86%E6%88%90%E8%83%BD%E8%AE%80%E7%9A%84%E6%96%87%E5%AD%97%E7%A8%BF+AI+literacy+media+creation+YouTube+beginner+tutorial+Day</x:v>
      </x:c>
      <x:c r="J116" s="38" t="str">
        <x:v>課前暖身</x:v>
      </x:c>
      <x:c r="K116" s="38" t="str">
        <x:v>5–12 分鐘</x:v>
      </x:c>
      <x:c r="L116" s="38" t="str">
        <x:v>先建立直覺；看完能說出 3 個關鍵詞</x:v>
      </x:c>
      <x:c r="M116" s="38" t="str">
        <x:v>□ 未挑選</x:v>
      </x:c>
      <x:c r="N116" s="38" t="str"/>
      <x:c r="O116" s="38" t="str"/>
    </x:row>
    <x:row r="117">
      <x:c r="A117" s="38" t="n">
        <x:v>39</x:v>
      </x:c>
      <x:c r="B117" s="38" t="str">
        <x:v>第 1 年</x:v>
      </x:c>
      <x:c r="C117" s="38" t="str">
        <x:v>M03 AI 創作與 YouTube 媒體工坊</x:v>
      </x:c>
      <x:c r="D117" s="38" t="n">
        <x:v>7</x:v>
      </x:c>
      <x:c r="E117" s="38" t="str">
        <x:v>把口語整理成能讀的文字稿</x:v>
      </x:c>
      <x:c r="F117" s="38" t="n">
        <x:v>2</x:v>
      </x:c>
      <x:c r="G117" s="38" t="str">
        <x:v>跟做實作／專案導向</x:v>
      </x:c>
      <x:c r="H117" s="38" t="str">
        <x:v>把口語整理成能讀的文字稿 刪除贅詞、保留語氣、分段、補標題與查核資訊 hands on project for kids AI literacy media creation YouTube</x:v>
      </x:c>
      <x:c r="I117" s="38" t="str">
        <x:v>https://www.youtube.com/results?search_query=%E6%8A%8A%E5%8F%A3%E8%AA%9E%E6%95%B4%E7%90%86%E6%88%90%E8%83%BD%E8%AE%80%E7%9A%84%E6%96%87%E5%AD%97%E7%A8%BF+%E5%88%AA%E9%99%A4%E8%B4%85%E8%A9%9E%E3%80%81%E4%BF%9D%E7%95%99%E8%AA%9E%E6%B0%A3%E3%80%81%E5%88%86%E6%AE%B5%E3%80%81%E8%A3%9C%E6%A8%99%E9%A1%8C%E8%88%87%E6%9F%A5%E6%A0%B8%E8%B3%87%E8%A8%8A+hands+on+project+for+kids+AI+literacy+media+creation+YouTube</x:v>
      </x:c>
      <x:c r="J117" s="38" t="str">
        <x:v>課中實作參考</x:v>
      </x:c>
      <x:c r="K117" s="38" t="str">
        <x:v>8–20 分鐘</x:v>
      </x:c>
      <x:c r="L117" s="38" t="str">
        <x:v>優先找有畫面操作、步驟清楚、可暫停跟做的版本</x:v>
      </x:c>
      <x:c r="M117" s="38" t="str">
        <x:v>□ 未挑選</x:v>
      </x:c>
      <x:c r="N117" s="38" t="str"/>
      <x:c r="O117" s="38" t="str"/>
    </x:row>
    <x:row r="118">
      <x:c r="A118" s="38" t="n">
        <x:v>39</x:v>
      </x:c>
      <x:c r="B118" s="38" t="str">
        <x:v>第 1 年</x:v>
      </x:c>
      <x:c r="C118" s="38" t="str">
        <x:v>M03 AI 創作與 YouTube 媒體工坊</x:v>
      </x:c>
      <x:c r="D118" s="38" t="n">
        <x:v>7</x:v>
      </x:c>
      <x:c r="E118" s="38" t="str">
        <x:v>把口語整理成能讀的文字稿</x:v>
      </x:c>
      <x:c r="F118" s="38" t="n">
        <x:v>3</x:v>
      </x:c>
      <x:c r="G118" s="38" t="str">
        <x:v>中文延伸／倫理安全</x:v>
      </x:c>
      <x:c r="H118" s="38" t="str">
        <x:v>把口語整理成能讀的文字稿 中文 教學 原理 安全 親子 AI literacy media creation YouTube</x:v>
      </x:c>
      <x:c r="I118" s="38" t="str">
        <x:v>https://www.youtube.com/results?search_query=%E6%8A%8A%E5%8F%A3%E8%AA%9E%E6%95%B4%E7%90%86%E6%88%90%E8%83%BD%E8%AE%80%E7%9A%84%E6%96%87%E5%AD%97%E7%A8%BF+%E4%B8%AD%E6%96%87+%E6%95%99%E5%AD%B8+%E5%8E%9F%E7%90%86+%E5%AE%89%E5%85%A8+%E8%A6%AA%E5%AD%90+AI+literacy+media+creation+YouTube</x:v>
      </x:c>
      <x:c r="J118" s="38" t="str">
        <x:v>課後延伸／親子討論</x:v>
      </x:c>
      <x:c r="K118" s="38" t="str">
        <x:v>6–15 分鐘</x:v>
      </x:c>
      <x:c r="L118" s="38" t="str">
        <x:v>補充應用、倫理、安全或真實案例；父子各說一個觀點</x:v>
      </x:c>
      <x:c r="M118" s="38" t="str">
        <x:v>□ 未挑選</x:v>
      </x:c>
      <x:c r="N118" s="38" t="str"/>
      <x:c r="O118" s="38" t="str"/>
    </x:row>
    <x:row r="119">
      <x:c r="A119" s="38" t="n">
        <x:v>40</x:v>
      </x:c>
      <x:c r="B119" s="38" t="str">
        <x:v>第 1 年</x:v>
      </x:c>
      <x:c r="C119" s="38" t="str">
        <x:v>M03 AI 創作與 YouTube 媒體工坊</x:v>
      </x:c>
      <x:c r="D119" s="38" t="n">
        <x:v>8</x:v>
      </x:c>
      <x:c r="E119" s="38" t="str">
        <x:v>簡報不是逐字稿：一頁只講一件事</x:v>
      </x:c>
      <x:c r="F119" s="38" t="n">
        <x:v>1</x:v>
      </x:c>
      <x:c r="G119" s="38" t="str">
        <x:v>概念入門／官方優先</x:v>
      </x:c>
      <x:c r="H119" s="38" t="str">
        <x:v>簡報不是逐字稿 一頁只講一件事 AI literacy media creation YouTube beginner tutorial Day</x:v>
      </x:c>
      <x:c r="I119" s="38" t="str">
        <x:v>https://www.youtube.com/results?search_query=%E7%B0%A1%E5%A0%B1%E4%B8%8D%E6%98%AF%E9%80%90%E5%AD%97%E7%A8%BF+%E4%B8%80%E9%A0%81%E5%8F%AA%E8%AC%9B%E4%B8%80%E4%BB%B6%E4%BA%8B+AI+literacy+media+creation+YouTube+beginner+tutorial+Day</x:v>
      </x:c>
      <x:c r="J119" s="38" t="str">
        <x:v>課前暖身</x:v>
      </x:c>
      <x:c r="K119" s="38" t="str">
        <x:v>5–12 分鐘</x:v>
      </x:c>
      <x:c r="L119" s="38" t="str">
        <x:v>先建立直覺；看完能說出 3 個關鍵詞</x:v>
      </x:c>
      <x:c r="M119" s="38" t="str">
        <x:v>□ 未挑選</x:v>
      </x:c>
      <x:c r="N119" s="38" t="str"/>
      <x:c r="O119" s="38" t="str"/>
    </x:row>
    <x:row r="120">
      <x:c r="A120" s="38" t="n">
        <x:v>40</x:v>
      </x:c>
      <x:c r="B120" s="38" t="str">
        <x:v>第 1 年</x:v>
      </x:c>
      <x:c r="C120" s="38" t="str">
        <x:v>M03 AI 創作與 YouTube 媒體工坊</x:v>
      </x:c>
      <x:c r="D120" s="38" t="n">
        <x:v>8</x:v>
      </x:c>
      <x:c r="E120" s="38" t="str">
        <x:v>簡報不是逐字稿：一頁只講一件事</x:v>
      </x:c>
      <x:c r="F120" s="38" t="n">
        <x:v>2</x:v>
      </x:c>
      <x:c r="G120" s="38" t="str">
        <x:v>跟做實作／專案導向</x:v>
      </x:c>
      <x:c r="H120" s="38" t="str">
        <x:v>簡報不是逐字稿 一頁只講一件事 建立開場、問題、解釋、例子、結論的故事線 hands on project for kids AI literacy media creation YouTube</x:v>
      </x:c>
      <x:c r="I120" s="38" t="str">
        <x:v>https://www.youtube.com/results?search_query=%E7%B0%A1%E5%A0%B1%E4%B8%8D%E6%98%AF%E9%80%90%E5%AD%97%E7%A8%BF+%E4%B8%80%E9%A0%81%E5%8F%AA%E8%AC%9B%E4%B8%80%E4%BB%B6%E4%BA%8B+%E5%BB%BA%E7%AB%8B%E9%96%8B%E5%A0%B4%E3%80%81%E5%95%8F%E9%A1%8C%E3%80%81%E8%A7%A3%E9%87%8B%E3%80%81%E4%BE%8B%E5%AD%90%E3%80%81%E7%B5%90%E8%AB%96%E7%9A%84%E6%95%85%E4%BA%8B%E7%B7%9A+hands+on+project+for+kids+AI+literacy+media+creation+YouTube</x:v>
      </x:c>
      <x:c r="J120" s="38" t="str">
        <x:v>課中實作參考</x:v>
      </x:c>
      <x:c r="K120" s="38" t="str">
        <x:v>8–20 分鐘</x:v>
      </x:c>
      <x:c r="L120" s="38" t="str">
        <x:v>優先找有畫面操作、步驟清楚、可暫停跟做的版本</x:v>
      </x:c>
      <x:c r="M120" s="38" t="str">
        <x:v>□ 未挑選</x:v>
      </x:c>
      <x:c r="N120" s="38" t="str"/>
      <x:c r="O120" s="38" t="str"/>
    </x:row>
    <x:row r="121">
      <x:c r="A121" s="38" t="n">
        <x:v>40</x:v>
      </x:c>
      <x:c r="B121" s="38" t="str">
        <x:v>第 1 年</x:v>
      </x:c>
      <x:c r="C121" s="38" t="str">
        <x:v>M03 AI 創作與 YouTube 媒體工坊</x:v>
      </x:c>
      <x:c r="D121" s="38" t="n">
        <x:v>8</x:v>
      </x:c>
      <x:c r="E121" s="38" t="str">
        <x:v>簡報不是逐字稿：一頁只講一件事</x:v>
      </x:c>
      <x:c r="F121" s="38" t="n">
        <x:v>3</x:v>
      </x:c>
      <x:c r="G121" s="38" t="str">
        <x:v>中文延伸／倫理安全</x:v>
      </x:c>
      <x:c r="H121" s="38" t="str">
        <x:v>簡報不是逐字稿 一頁只講一件事 中文 教學 原理 安全 親子 AI literacy media creation YouTube</x:v>
      </x:c>
      <x:c r="I121" s="38" t="str">
        <x:v>https://www.youtube.com/results?search_query=%E7%B0%A1%E5%A0%B1%E4%B8%8D%E6%98%AF%E9%80%90%E5%AD%97%E7%A8%BF+%E4%B8%80%E9%A0%81%E5%8F%AA%E8%AC%9B%E4%B8%80%E4%BB%B6%E4%BA%8B+%E4%B8%AD%E6%96%87+%E6%95%99%E5%AD%B8+%E5%8E%9F%E7%90%86+%E5%AE%89%E5%85%A8+%E8%A6%AA%E5%AD%90+AI+literacy+media+creation+YouTube</x:v>
      </x:c>
      <x:c r="J121" s="38" t="str">
        <x:v>課後延伸／親子討論</x:v>
      </x:c>
      <x:c r="K121" s="38" t="str">
        <x:v>6–15 分鐘</x:v>
      </x:c>
      <x:c r="L121" s="38" t="str">
        <x:v>補充應用、倫理、安全或真實案例；父子各說一個觀點</x:v>
      </x:c>
      <x:c r="M121" s="38" t="str">
        <x:v>□ 未挑選</x:v>
      </x:c>
      <x:c r="N121" s="38" t="str"/>
      <x:c r="O121" s="38" t="str"/>
    </x:row>
    <x:row r="122">
      <x:c r="A122" s="38" t="n">
        <x:v>41</x:v>
      </x:c>
      <x:c r="B122" s="38" t="str">
        <x:v>第 1 年</x:v>
      </x:c>
      <x:c r="C122" s="38" t="str">
        <x:v>M03 AI 創作與 YouTube 媒體工坊</x:v>
      </x:c>
      <x:c r="D122" s="38" t="n">
        <x:v>9</x:v>
      </x:c>
      <x:c r="E122" s="38" t="str">
        <x:v>PPT 視覺：字體、對齊、留白與圖解</x:v>
      </x:c>
      <x:c r="F122" s="38" t="n">
        <x:v>1</x:v>
      </x:c>
      <x:c r="G122" s="38" t="str">
        <x:v>概念入門／官方優先</x:v>
      </x:c>
      <x:c r="H122" s="38" t="str">
        <x:v>PPT 視覺 字體、對齊、留白與圖解 AI literacy media creation YouTube beginner tutorial Day</x:v>
      </x:c>
      <x:c r="I122" s="38" t="str">
        <x:v>https://www.youtube.com/results?search_query=PPT+%E8%A6%96%E8%A6%BA+%E5%AD%97%E9%AB%94%E3%80%81%E5%B0%8D%E9%BD%8A%E3%80%81%E7%95%99%E7%99%BD%E8%88%87%E5%9C%96%E8%A7%A3+AI+literacy+media+creation+YouTube+beginner+tutorial+Day</x:v>
      </x:c>
      <x:c r="J122" s="38" t="str">
        <x:v>課前暖身</x:v>
      </x:c>
      <x:c r="K122" s="38" t="str">
        <x:v>5–12 分鐘</x:v>
      </x:c>
      <x:c r="L122" s="38" t="str">
        <x:v>先建立直覺；看完能說出 3 個關鍵詞</x:v>
      </x:c>
      <x:c r="M122" s="38" t="str">
        <x:v>□ 未挑選</x:v>
      </x:c>
      <x:c r="N122" s="38" t="str"/>
      <x:c r="O122" s="38" t="str"/>
    </x:row>
    <x:row r="123">
      <x:c r="A123" s="38" t="n">
        <x:v>41</x:v>
      </x:c>
      <x:c r="B123" s="38" t="str">
        <x:v>第 1 年</x:v>
      </x:c>
      <x:c r="C123" s="38" t="str">
        <x:v>M03 AI 創作與 YouTube 媒體工坊</x:v>
      </x:c>
      <x:c r="D123" s="38" t="n">
        <x:v>9</x:v>
      </x:c>
      <x:c r="E123" s="38" t="str">
        <x:v>PPT 視覺：字體、對齊、留白與圖解</x:v>
      </x:c>
      <x:c r="F123" s="38" t="n">
        <x:v>2</x:v>
      </x:c>
      <x:c r="G123" s="38" t="str">
        <x:v>跟做實作／專案導向</x:v>
      </x:c>
      <x:c r="H123" s="38" t="str">
        <x:v>PPT 視覺 字體、對齊、留白與圖解 用一致版型與視覺層級提升理解 hands on project for kids AI literacy media creation YouTube</x:v>
      </x:c>
      <x:c r="I123" s="38" t="str">
        <x:v>https://www.youtube.com/results?search_query=PPT+%E8%A6%96%E8%A6%BA+%E5%AD%97%E9%AB%94%E3%80%81%E5%B0%8D%E9%BD%8A%E3%80%81%E7%95%99%E7%99%BD%E8%88%87%E5%9C%96%E8%A7%A3+%E7%94%A8%E4%B8%80%E8%87%B4%E7%89%88%E5%9E%8B%E8%88%87%E8%A6%96%E8%A6%BA%E5%B1%A4%E7%B4%9A%E6%8F%90%E5%8D%87%E7%90%86%E8%A7%A3+hands+on+project+for+kids+AI+literacy+media+creation+YouTube</x:v>
      </x:c>
      <x:c r="J123" s="38" t="str">
        <x:v>課中實作參考</x:v>
      </x:c>
      <x:c r="K123" s="38" t="str">
        <x:v>8–20 分鐘</x:v>
      </x:c>
      <x:c r="L123" s="38" t="str">
        <x:v>優先找有畫面操作、步驟清楚、可暫停跟做的版本</x:v>
      </x:c>
      <x:c r="M123" s="38" t="str">
        <x:v>□ 未挑選</x:v>
      </x:c>
      <x:c r="N123" s="38" t="str"/>
      <x:c r="O123" s="38" t="str"/>
    </x:row>
    <x:row r="124">
      <x:c r="A124" s="38" t="n">
        <x:v>41</x:v>
      </x:c>
      <x:c r="B124" s="38" t="str">
        <x:v>第 1 年</x:v>
      </x:c>
      <x:c r="C124" s="38" t="str">
        <x:v>M03 AI 創作與 YouTube 媒體工坊</x:v>
      </x:c>
      <x:c r="D124" s="38" t="n">
        <x:v>9</x:v>
      </x:c>
      <x:c r="E124" s="38" t="str">
        <x:v>PPT 視覺：字體、對齊、留白與圖解</x:v>
      </x:c>
      <x:c r="F124" s="38" t="n">
        <x:v>3</x:v>
      </x:c>
      <x:c r="G124" s="38" t="str">
        <x:v>中文延伸／倫理安全</x:v>
      </x:c>
      <x:c r="H124" s="38" t="str">
        <x:v>PPT 視覺 字體、對齊、留白與圖解 中文 教學 原理 安全 親子 AI literacy media creation YouTube</x:v>
      </x:c>
      <x:c r="I124" s="38" t="str">
        <x:v>https://www.youtube.com/results?search_query=PPT+%E8%A6%96%E8%A6%BA+%E5%AD%97%E9%AB%94%E3%80%81%E5%B0%8D%E9%BD%8A%E3%80%81%E7%95%99%E7%99%BD%E8%88%87%E5%9C%96%E8%A7%A3+%E4%B8%AD%E6%96%87+%E6%95%99%E5%AD%B8+%E5%8E%9F%E7%90%86+%E5%AE%89%E5%85%A8+%E8%A6%AA%E5%AD%90+AI+literacy+media+creation+YouTube</x:v>
      </x:c>
      <x:c r="J124" s="38" t="str">
        <x:v>課後延伸／親子討論</x:v>
      </x:c>
      <x:c r="K124" s="38" t="str">
        <x:v>6–15 分鐘</x:v>
      </x:c>
      <x:c r="L124" s="38" t="str">
        <x:v>補充應用、倫理、安全或真實案例；父子各說一個觀點</x:v>
      </x:c>
      <x:c r="M124" s="38" t="str">
        <x:v>□ 未挑選</x:v>
      </x:c>
      <x:c r="N124" s="38" t="str"/>
      <x:c r="O124" s="38" t="str"/>
    </x:row>
    <x:row r="125">
      <x:c r="A125" s="38" t="n">
        <x:v>42</x:v>
      </x:c>
      <x:c r="B125" s="38" t="str">
        <x:v>第 1 年</x:v>
      </x:c>
      <x:c r="C125" s="38" t="str">
        <x:v>M03 AI 創作與 YouTube 媒體工坊</x:v>
      </x:c>
      <x:c r="D125" s="38" t="n">
        <x:v>10</x:v>
      </x:c>
      <x:c r="E125" s="38" t="str">
        <x:v>TTS 配音：自然、停頓、專有名詞</x:v>
      </x:c>
      <x:c r="F125" s="38" t="n">
        <x:v>1</x:v>
      </x:c>
      <x:c r="G125" s="38" t="str">
        <x:v>概念入門／官方優先</x:v>
      </x:c>
      <x:c r="H125" s="38" t="str">
        <x:v>TTS 配音 自然、停頓、專有名詞 AI literacy media creation YouTube beginner tutorial Day</x:v>
      </x:c>
      <x:c r="I125" s="38" t="str">
        <x:v>https://www.youtube.com/results?search_query=TTS+%E9%85%8D%E9%9F%B3+%E8%87%AA%E7%84%B6%E3%80%81%E5%81%9C%E9%A0%93%E3%80%81%E5%B0%88%E6%9C%89%E5%90%8D%E8%A9%9E+AI+literacy+media+creation+YouTube+beginner+tutorial+Day</x:v>
      </x:c>
      <x:c r="J125" s="38" t="str">
        <x:v>課前暖身</x:v>
      </x:c>
      <x:c r="K125" s="38" t="str">
        <x:v>5–12 分鐘</x:v>
      </x:c>
      <x:c r="L125" s="38" t="str">
        <x:v>先建立直覺；看完能說出 3 個關鍵詞</x:v>
      </x:c>
      <x:c r="M125" s="38" t="str">
        <x:v>□ 未挑選</x:v>
      </x:c>
      <x:c r="N125" s="38" t="str"/>
      <x:c r="O125" s="38" t="str"/>
    </x:row>
    <x:row r="126">
      <x:c r="A126" s="38" t="n">
        <x:v>42</x:v>
      </x:c>
      <x:c r="B126" s="38" t="str">
        <x:v>第 1 年</x:v>
      </x:c>
      <x:c r="C126" s="38" t="str">
        <x:v>M03 AI 創作與 YouTube 媒體工坊</x:v>
      </x:c>
      <x:c r="D126" s="38" t="n">
        <x:v>10</x:v>
      </x:c>
      <x:c r="E126" s="38" t="str">
        <x:v>TTS 配音：自然、停頓、專有名詞</x:v>
      </x:c>
      <x:c r="F126" s="38" t="n">
        <x:v>2</x:v>
      </x:c>
      <x:c r="G126" s="38" t="str">
        <x:v>跟做實作／專案導向</x:v>
      </x:c>
      <x:c r="H126" s="38" t="str">
        <x:v>TTS 配音 自然、停頓、專有名詞 把書面稿改成適合朗讀的句子並標記發音 hands on project for kids AI literacy media creation YouTube</x:v>
      </x:c>
      <x:c r="I126" s="38" t="str">
        <x:v>https://www.youtube.com/results?search_query=TTS+%E9%85%8D%E9%9F%B3+%E8%87%AA%E7%84%B6%E3%80%81%E5%81%9C%E9%A0%93%E3%80%81%E5%B0%88%E6%9C%89%E5%90%8D%E8%A9%9E+%E6%8A%8A%E6%9B%B8%E9%9D%A2%E7%A8%BF%E6%94%B9%E6%88%90%E9%81%A9%E5%90%88%E6%9C%97%E8%AE%80%E7%9A%84%E5%8F%A5%E5%AD%90%E4%B8%A6%E6%A8%99%E8%A8%98%E7%99%BC%E9%9F%B3+hands+on+project+for+kids+AI+literacy+media+creation+YouTube</x:v>
      </x:c>
      <x:c r="J126" s="38" t="str">
        <x:v>課中實作參考</x:v>
      </x:c>
      <x:c r="K126" s="38" t="str">
        <x:v>8–20 分鐘</x:v>
      </x:c>
      <x:c r="L126" s="38" t="str">
        <x:v>優先找有畫面操作、步驟清楚、可暫停跟做的版本</x:v>
      </x:c>
      <x:c r="M126" s="38" t="str">
        <x:v>□ 未挑選</x:v>
      </x:c>
      <x:c r="N126" s="38" t="str"/>
      <x:c r="O126" s="38" t="str"/>
    </x:row>
    <x:row r="127">
      <x:c r="A127" s="38" t="n">
        <x:v>42</x:v>
      </x:c>
      <x:c r="B127" s="38" t="str">
        <x:v>第 1 年</x:v>
      </x:c>
      <x:c r="C127" s="38" t="str">
        <x:v>M03 AI 創作與 YouTube 媒體工坊</x:v>
      </x:c>
      <x:c r="D127" s="38" t="n">
        <x:v>10</x:v>
      </x:c>
      <x:c r="E127" s="38" t="str">
        <x:v>TTS 配音：自然、停頓、專有名詞</x:v>
      </x:c>
      <x:c r="F127" s="38" t="n">
        <x:v>3</x:v>
      </x:c>
      <x:c r="G127" s="38" t="str">
        <x:v>中文延伸／倫理安全</x:v>
      </x:c>
      <x:c r="H127" s="38" t="str">
        <x:v>TTS 配音 自然、停頓、專有名詞 中文 教學 原理 安全 親子 AI literacy media creation YouTube</x:v>
      </x:c>
      <x:c r="I127" s="38" t="str">
        <x:v>https://www.youtube.com/results?search_query=TTS+%E9%85%8D%E9%9F%B3+%E8%87%AA%E7%84%B6%E3%80%81%E5%81%9C%E9%A0%93%E3%80%81%E5%B0%88%E6%9C%89%E5%90%8D%E8%A9%9E+%E4%B8%AD%E6%96%87+%E6%95%99%E5%AD%B8+%E5%8E%9F%E7%90%86+%E5%AE%89%E5%85%A8+%E8%A6%AA%E5%AD%90+AI+literacy+media+creation+YouTube</x:v>
      </x:c>
      <x:c r="J127" s="38" t="str">
        <x:v>課後延伸／親子討論</x:v>
      </x:c>
      <x:c r="K127" s="38" t="str">
        <x:v>6–15 分鐘</x:v>
      </x:c>
      <x:c r="L127" s="38" t="str">
        <x:v>補充應用、倫理、安全或真實案例；父子各說一個觀點</x:v>
      </x:c>
      <x:c r="M127" s="38" t="str">
        <x:v>□ 未挑選</x:v>
      </x:c>
      <x:c r="N127" s="38" t="str"/>
      <x:c r="O127" s="38" t="str"/>
    </x:row>
    <x:row r="128">
      <x:c r="A128" s="38" t="n">
        <x:v>43</x:v>
      </x:c>
      <x:c r="B128" s="38" t="str">
        <x:v>第 1 年</x:v>
      </x:c>
      <x:c r="C128" s="38" t="str">
        <x:v>M03 AI 創作與 YouTube 媒體工坊</x:v>
      </x:c>
      <x:c r="D128" s="38" t="n">
        <x:v>11</x:v>
      </x:c>
      <x:c r="E128" s="38" t="str">
        <x:v>剪輯節奏：畫面為什麼要換</x:v>
      </x:c>
      <x:c r="F128" s="38" t="n">
        <x:v>1</x:v>
      </x:c>
      <x:c r="G128" s="38" t="str">
        <x:v>概念入門／官方優先</x:v>
      </x:c>
      <x:c r="H128" s="38" t="str">
        <x:v>剪輯節奏 畫面為什麼要換 AI literacy media creation YouTube beginner tutorial Day</x:v>
      </x:c>
      <x:c r="I128" s="38" t="str">
        <x:v>https://www.youtube.com/results?search_query=%E5%89%AA%E8%BC%AF%E7%AF%80%E5%A5%8F+%E7%95%AB%E9%9D%A2%E7%82%BA%E4%BB%80%E9%BA%BC%E8%A6%81%E6%8F%9B+AI+literacy+media+creation+YouTube+beginner+tutorial+Day</x:v>
      </x:c>
      <x:c r="J128" s="38" t="str">
        <x:v>課前暖身</x:v>
      </x:c>
      <x:c r="K128" s="38" t="str">
        <x:v>5–12 分鐘</x:v>
      </x:c>
      <x:c r="L128" s="38" t="str">
        <x:v>先建立直覺；看完能說出 3 個關鍵詞</x:v>
      </x:c>
      <x:c r="M128" s="38" t="str">
        <x:v>□ 未挑選</x:v>
      </x:c>
      <x:c r="N128" s="38" t="str"/>
      <x:c r="O128" s="38" t="str"/>
    </x:row>
    <x:row r="129">
      <x:c r="A129" s="38" t="n">
        <x:v>43</x:v>
      </x:c>
      <x:c r="B129" s="38" t="str">
        <x:v>第 1 年</x:v>
      </x:c>
      <x:c r="C129" s="38" t="str">
        <x:v>M03 AI 創作與 YouTube 媒體工坊</x:v>
      </x:c>
      <x:c r="D129" s="38" t="n">
        <x:v>11</x:v>
      </x:c>
      <x:c r="E129" s="38" t="str">
        <x:v>剪輯節奏：畫面為什麼要換</x:v>
      </x:c>
      <x:c r="F129" s="38" t="n">
        <x:v>2</x:v>
      </x:c>
      <x:c r="G129" s="38" t="str">
        <x:v>跟做實作／專案導向</x:v>
      </x:c>
      <x:c r="H129" s="38" t="str">
        <x:v>剪輯節奏 畫面為什麼要換 理解 A roll、B roll、畫面停留、轉場與聲音優先 hands on project for kids AI literacy media</x:v>
      </x:c>
      <x:c r="I129" s="38" t="str">
        <x:v>https://www.youtube.com/results?search_query=%E5%89%AA%E8%BC%AF%E7%AF%80%E5%A5%8F+%E7%95%AB%E9%9D%A2%E7%82%BA%E4%BB%80%E9%BA%BC%E8%A6%81%E6%8F%9B+%E7%90%86%E8%A7%A3+A+roll%E3%80%81B+roll%E3%80%81%E7%95%AB%E9%9D%A2%E5%81%9C%E7%95%99%E3%80%81%E8%BD%89%E5%A0%B4%E8%88%87%E8%81%B2%E9%9F%B3%E5%84%AA%E5%85%88+hands+on+project+for+kids+AI+literacy+media+creation+YouTube</x:v>
      </x:c>
      <x:c r="J129" s="38" t="str">
        <x:v>課中實作參考</x:v>
      </x:c>
      <x:c r="K129" s="38" t="str">
        <x:v>8–20 分鐘</x:v>
      </x:c>
      <x:c r="L129" s="38" t="str">
        <x:v>優先找有畫面操作、步驟清楚、可暫停跟做的版本</x:v>
      </x:c>
      <x:c r="M129" s="38" t="str">
        <x:v>□ 未挑選</x:v>
      </x:c>
      <x:c r="N129" s="38" t="str"/>
      <x:c r="O129" s="38" t="str"/>
    </x:row>
    <x:row r="130">
      <x:c r="A130" s="38" t="n">
        <x:v>43</x:v>
      </x:c>
      <x:c r="B130" s="38" t="str">
        <x:v>第 1 年</x:v>
      </x:c>
      <x:c r="C130" s="38" t="str">
        <x:v>M03 AI 創作與 YouTube 媒體工坊</x:v>
      </x:c>
      <x:c r="D130" s="38" t="n">
        <x:v>11</x:v>
      </x:c>
      <x:c r="E130" s="38" t="str">
        <x:v>剪輯節奏：畫面為什麼要換</x:v>
      </x:c>
      <x:c r="F130" s="38" t="n">
        <x:v>3</x:v>
      </x:c>
      <x:c r="G130" s="38" t="str">
        <x:v>中文延伸／倫理安全</x:v>
      </x:c>
      <x:c r="H130" s="38" t="str">
        <x:v>剪輯節奏 畫面為什麼要換 中文 教學 原理 安全 親子 AI literacy media creation YouTube</x:v>
      </x:c>
      <x:c r="I130" s="38" t="str">
        <x:v>https://www.youtube.com/results?search_query=%E5%89%AA%E8%BC%AF%E7%AF%80%E5%A5%8F+%E7%95%AB%E9%9D%A2%E7%82%BA%E4%BB%80%E9%BA%BC%E8%A6%81%E6%8F%9B+%E4%B8%AD%E6%96%87+%E6%95%99%E5%AD%B8+%E5%8E%9F%E7%90%86+%E5%AE%89%E5%85%A8+%E8%A6%AA%E5%AD%90+AI+literacy+media+creation+YouTube</x:v>
      </x:c>
      <x:c r="J130" s="38" t="str">
        <x:v>課後延伸／親子討論</x:v>
      </x:c>
      <x:c r="K130" s="38" t="str">
        <x:v>6–15 分鐘</x:v>
      </x:c>
      <x:c r="L130" s="38" t="str">
        <x:v>補充應用、倫理、安全或真實案例；父子各說一個觀點</x:v>
      </x:c>
      <x:c r="M130" s="38" t="str">
        <x:v>□ 未挑選</x:v>
      </x:c>
      <x:c r="N130" s="38" t="str"/>
      <x:c r="O130" s="38" t="str"/>
    </x:row>
    <x:row r="131">
      <x:c r="A131" s="38" t="n">
        <x:v>44</x:v>
      </x:c>
      <x:c r="B131" s="38" t="str">
        <x:v>第 1 年</x:v>
      </x:c>
      <x:c r="C131" s="38" t="str">
        <x:v>M03 AI 創作與 YouTube 媒體工坊</x:v>
      </x:c>
      <x:c r="D131" s="38" t="n">
        <x:v>12</x:v>
      </x:c>
      <x:c r="E131" s="38" t="str">
        <x:v>縮圖與標題：吸引但不欺騙</x:v>
      </x:c>
      <x:c r="F131" s="38" t="n">
        <x:v>1</x:v>
      </x:c>
      <x:c r="G131" s="38" t="str">
        <x:v>概念入門／官方優先</x:v>
      </x:c>
      <x:c r="H131" s="38" t="str">
        <x:v>縮圖與標題 吸引但不欺騙 AI literacy media creation YouTube beginner tutorial Day</x:v>
      </x:c>
      <x:c r="I131" s="38" t="str">
        <x:v>https://www.youtube.com/results?search_query=%E7%B8%AE%E5%9C%96%E8%88%87%E6%A8%99%E9%A1%8C+%E5%90%B8%E5%BC%95%E4%BD%86%E4%B8%8D%E6%AC%BA%E9%A8%99+AI+literacy+media+creation+YouTube+beginner+tutorial+Day</x:v>
      </x:c>
      <x:c r="J131" s="38" t="str">
        <x:v>課前暖身</x:v>
      </x:c>
      <x:c r="K131" s="38" t="str">
        <x:v>5–12 分鐘</x:v>
      </x:c>
      <x:c r="L131" s="38" t="str">
        <x:v>先建立直覺；看完能說出 3 個關鍵詞</x:v>
      </x:c>
      <x:c r="M131" s="38" t="str">
        <x:v>□ 未挑選</x:v>
      </x:c>
      <x:c r="N131" s="38" t="str"/>
      <x:c r="O131" s="38" t="str"/>
    </x:row>
    <x:row r="132">
      <x:c r="A132" s="38" t="n">
        <x:v>44</x:v>
      </x:c>
      <x:c r="B132" s="38" t="str">
        <x:v>第 1 年</x:v>
      </x:c>
      <x:c r="C132" s="38" t="str">
        <x:v>M03 AI 創作與 YouTube 媒體工坊</x:v>
      </x:c>
      <x:c r="D132" s="38" t="n">
        <x:v>12</x:v>
      </x:c>
      <x:c r="E132" s="38" t="str">
        <x:v>縮圖與標題：吸引但不欺騙</x:v>
      </x:c>
      <x:c r="F132" s="38" t="n">
        <x:v>2</x:v>
      </x:c>
      <x:c r="G132" s="38" t="str">
        <x:v>跟做實作／專案導向</x:v>
      </x:c>
      <x:c r="H132" s="38" t="str">
        <x:v>縮圖與標題 吸引但不欺騙 學會明確承諾、視覺焦點與避免誇張誤導 hands on project for kids AI literacy media creation YouTube</x:v>
      </x:c>
      <x:c r="I132" s="38" t="str">
        <x:v>https://www.youtube.com/results?search_query=%E7%B8%AE%E5%9C%96%E8%88%87%E6%A8%99%E9%A1%8C+%E5%90%B8%E5%BC%95%E4%BD%86%E4%B8%8D%E6%AC%BA%E9%A8%99+%E5%AD%B8%E6%9C%83%E6%98%8E%E7%A2%BA%E6%89%BF%E8%AB%BE%E3%80%81%E8%A6%96%E8%A6%BA%E7%84%A6%E9%BB%9E%E8%88%87%E9%81%BF%E5%85%8D%E8%AA%87%E5%BC%B5%E8%AA%A4%E5%B0%8E+hands+on+project+for+kids+AI+literacy+media+creation+YouTube</x:v>
      </x:c>
      <x:c r="J132" s="38" t="str">
        <x:v>課中實作參考</x:v>
      </x:c>
      <x:c r="K132" s="38" t="str">
        <x:v>8–20 分鐘</x:v>
      </x:c>
      <x:c r="L132" s="38" t="str">
        <x:v>優先找有畫面操作、步驟清楚、可暫停跟做的版本</x:v>
      </x:c>
      <x:c r="M132" s="38" t="str">
        <x:v>□ 未挑選</x:v>
      </x:c>
      <x:c r="N132" s="38" t="str"/>
      <x:c r="O132" s="38" t="str"/>
    </x:row>
    <x:row r="133">
      <x:c r="A133" s="38" t="n">
        <x:v>44</x:v>
      </x:c>
      <x:c r="B133" s="38" t="str">
        <x:v>第 1 年</x:v>
      </x:c>
      <x:c r="C133" s="38" t="str">
        <x:v>M03 AI 創作與 YouTube 媒體工坊</x:v>
      </x:c>
      <x:c r="D133" s="38" t="n">
        <x:v>12</x:v>
      </x:c>
      <x:c r="E133" s="38" t="str">
        <x:v>縮圖與標題：吸引但不欺騙</x:v>
      </x:c>
      <x:c r="F133" s="38" t="n">
        <x:v>3</x:v>
      </x:c>
      <x:c r="G133" s="38" t="str">
        <x:v>中文延伸／倫理安全</x:v>
      </x:c>
      <x:c r="H133" s="38" t="str">
        <x:v>縮圖與標題 吸引但不欺騙 中文 教學 原理 安全 親子 AI literacy media creation YouTube</x:v>
      </x:c>
      <x:c r="I133" s="38" t="str">
        <x:v>https://www.youtube.com/results?search_query=%E7%B8%AE%E5%9C%96%E8%88%87%E6%A8%99%E9%A1%8C+%E5%90%B8%E5%BC%95%E4%BD%86%E4%B8%8D%E6%AC%BA%E9%A8%99+%E4%B8%AD%E6%96%87+%E6%95%99%E5%AD%B8+%E5%8E%9F%E7%90%86+%E5%AE%89%E5%85%A8+%E8%A6%AA%E5%AD%90+AI+literacy+media+creation+YouTube</x:v>
      </x:c>
      <x:c r="J133" s="38" t="str">
        <x:v>課後延伸／親子討論</x:v>
      </x:c>
      <x:c r="K133" s="38" t="str">
        <x:v>6–15 分鐘</x:v>
      </x:c>
      <x:c r="L133" s="38" t="str">
        <x:v>補充應用、倫理、安全或真實案例；父子各說一個觀點</x:v>
      </x:c>
      <x:c r="M133" s="38" t="str">
        <x:v>□ 未挑選</x:v>
      </x:c>
      <x:c r="N133" s="38" t="str"/>
      <x:c r="O133" s="38" t="str"/>
    </x:row>
    <x:row r="134">
      <x:c r="A134" s="38" t="n">
        <x:v>45</x:v>
      </x:c>
      <x:c r="B134" s="38" t="str">
        <x:v>第 1 年</x:v>
      </x:c>
      <x:c r="C134" s="38" t="str">
        <x:v>M03 AI 創作與 YouTube 媒體工坊</x:v>
      </x:c>
      <x:c r="D134" s="38" t="n">
        <x:v>13</x:v>
      </x:c>
      <x:c r="E134" s="38" t="str">
        <x:v>兒童頻道的安全與隱私</x:v>
      </x:c>
      <x:c r="F134" s="38" t="n">
        <x:v>1</x:v>
      </x:c>
      <x:c r="G134" s="38" t="str">
        <x:v>概念入門／官方優先</x:v>
      </x:c>
      <x:c r="H134" s="38" t="str">
        <x:v>兒童頻道的安全與隱私 AI literacy media creation YouTube beginner tutorial Day</x:v>
      </x:c>
      <x:c r="I134" s="38" t="str">
        <x:v>https://www.youtube.com/results?search_query=%E5%85%92%E7%AB%A5%E9%A0%BB%E9%81%93%E7%9A%84%E5%AE%89%E5%85%A8%E8%88%87%E9%9A%B1%E7%A7%81+AI+literacy+media+creation+YouTube+beginner+tutorial+Day</x:v>
      </x:c>
      <x:c r="J134" s="38" t="str">
        <x:v>課前暖身</x:v>
      </x:c>
      <x:c r="K134" s="38" t="str">
        <x:v>5–12 分鐘</x:v>
      </x:c>
      <x:c r="L134" s="38" t="str">
        <x:v>先建立直覺；看完能說出 3 個關鍵詞</x:v>
      </x:c>
      <x:c r="M134" s="38" t="str">
        <x:v>□ 未挑選</x:v>
      </x:c>
      <x:c r="N134" s="38" t="str"/>
      <x:c r="O134" s="38" t="str"/>
    </x:row>
    <x:row r="135">
      <x:c r="A135" s="38" t="n">
        <x:v>45</x:v>
      </x:c>
      <x:c r="B135" s="38" t="str">
        <x:v>第 1 年</x:v>
      </x:c>
      <x:c r="C135" s="38" t="str">
        <x:v>M03 AI 創作與 YouTube 媒體工坊</x:v>
      </x:c>
      <x:c r="D135" s="38" t="n">
        <x:v>13</x:v>
      </x:c>
      <x:c r="E135" s="38" t="str">
        <x:v>兒童頻道的安全與隱私</x:v>
      </x:c>
      <x:c r="F135" s="38" t="n">
        <x:v>2</x:v>
      </x:c>
      <x:c r="G135" s="38" t="str">
        <x:v>跟做實作／專案導向</x:v>
      </x:c>
      <x:c r="H135" s="38" t="str">
        <x:v>兒童頻道的安全與隱私 建立不露個資、位置、學校、帳號與未授權人像的規範 hands on project for kids AI literacy media creation YouTube</x:v>
      </x:c>
      <x:c r="I135" s="38" t="str">
        <x:v>https://www.youtube.com/results?search_query=%E5%85%92%E7%AB%A5%E9%A0%BB%E9%81%93%E7%9A%84%E5%AE%89%E5%85%A8%E8%88%87%E9%9A%B1%E7%A7%81+%E5%BB%BA%E7%AB%8B%E4%B8%8D%E9%9C%B2%E5%80%8B%E8%B3%87%E3%80%81%E4%BD%8D%E7%BD%AE%E3%80%81%E5%AD%B8%E6%A0%A1%E3%80%81%E5%B8%B3%E8%99%9F%E8%88%87%E6%9C%AA%E6%8E%88%E6%AC%8A%E4%BA%BA%E5%83%8F%E7%9A%84%E8%A6%8F%E7%AF%84+hands+on+project+for+kids+AI+literacy+media+creation+YouTube</x:v>
      </x:c>
      <x:c r="J135" s="38" t="str">
        <x:v>課中實作參考</x:v>
      </x:c>
      <x:c r="K135" s="38" t="str">
        <x:v>8–20 分鐘</x:v>
      </x:c>
      <x:c r="L135" s="38" t="str">
        <x:v>優先找有畫面操作、步驟清楚、可暫停跟做的版本</x:v>
      </x:c>
      <x:c r="M135" s="38" t="str">
        <x:v>□ 未挑選</x:v>
      </x:c>
      <x:c r="N135" s="38" t="str"/>
      <x:c r="O135" s="38" t="str"/>
    </x:row>
    <x:row r="136">
      <x:c r="A136" s="38" t="n">
        <x:v>45</x:v>
      </x:c>
      <x:c r="B136" s="38" t="str">
        <x:v>第 1 年</x:v>
      </x:c>
      <x:c r="C136" s="38" t="str">
        <x:v>M03 AI 創作與 YouTube 媒體工坊</x:v>
      </x:c>
      <x:c r="D136" s="38" t="n">
        <x:v>13</x:v>
      </x:c>
      <x:c r="E136" s="38" t="str">
        <x:v>兒童頻道的安全與隱私</x:v>
      </x:c>
      <x:c r="F136" s="38" t="n">
        <x:v>3</x:v>
      </x:c>
      <x:c r="G136" s="38" t="str">
        <x:v>中文延伸／倫理安全</x:v>
      </x:c>
      <x:c r="H136" s="38" t="str">
        <x:v>兒童頻道的安全與隱私 中文 教學 原理 安全 親子 AI literacy media creation YouTube</x:v>
      </x:c>
      <x:c r="I136" s="38" t="str">
        <x:v>https://www.youtube.com/results?search_query=%E5%85%92%E7%AB%A5%E9%A0%BB%E9%81%93%E7%9A%84%E5%AE%89%E5%85%A8%E8%88%87%E9%9A%B1%E7%A7%81+%E4%B8%AD%E6%96%87+%E6%95%99%E5%AD%B8+%E5%8E%9F%E7%90%86+%E5%AE%89%E5%85%A8+%E8%A6%AA%E5%AD%90+AI+literacy+media+creation+YouTube</x:v>
      </x:c>
      <x:c r="J136" s="38" t="str">
        <x:v>課後延伸／親子討論</x:v>
      </x:c>
      <x:c r="K136" s="38" t="str">
        <x:v>6–15 分鐘</x:v>
      </x:c>
      <x:c r="L136" s="38" t="str">
        <x:v>補充應用、倫理、安全或真實案例；父子各說一個觀點</x:v>
      </x:c>
      <x:c r="M136" s="38" t="str">
        <x:v>□ 未挑選</x:v>
      </x:c>
      <x:c r="N136" s="38" t="str"/>
      <x:c r="O136" s="38" t="str"/>
    </x:row>
    <x:row r="137">
      <x:c r="A137" s="38" t="n">
        <x:v>46</x:v>
      </x:c>
      <x:c r="B137" s="38" t="str">
        <x:v>第 1 年</x:v>
      </x:c>
      <x:c r="C137" s="38" t="str">
        <x:v>M03 AI 創作與 YouTube 媒體工坊</x:v>
      </x:c>
      <x:c r="D137" s="38" t="n">
        <x:v>14</x:v>
      </x:c>
      <x:c r="E137" s="38" t="str">
        <x:v>一分鐘科普片：為什麼電池會沒電</x:v>
      </x:c>
      <x:c r="F137" s="38" t="n">
        <x:v>1</x:v>
      </x:c>
      <x:c r="G137" s="38" t="str">
        <x:v>概念入門／官方優先</x:v>
      </x:c>
      <x:c r="H137" s="38" t="str">
        <x:v>一分鐘科普片 為什麼電池會沒電 AI literacy media creation YouTube beginner tutorial Day</x:v>
      </x:c>
      <x:c r="I137" s="38" t="str">
        <x:v>https://www.youtube.com/results?search_query=%E4%B8%80%E5%88%86%E9%90%98%E7%A7%91%E6%99%AE%E7%89%87+%E7%82%BA%E4%BB%80%E9%BA%BC%E9%9B%BB%E6%B1%A0%E6%9C%83%E6%B2%92%E9%9B%BB+AI+literacy+media+creation+YouTube+beginner+tutorial+Day</x:v>
      </x:c>
      <x:c r="J137" s="38" t="str">
        <x:v>課前暖身</x:v>
      </x:c>
      <x:c r="K137" s="38" t="str">
        <x:v>5–12 分鐘</x:v>
      </x:c>
      <x:c r="L137" s="38" t="str">
        <x:v>先建立直覺；看完能說出 3 個關鍵詞</x:v>
      </x:c>
      <x:c r="M137" s="38" t="str">
        <x:v>□ 未挑選</x:v>
      </x:c>
      <x:c r="N137" s="38" t="str"/>
      <x:c r="O137" s="38" t="str"/>
    </x:row>
    <x:row r="138">
      <x:c r="A138" s="38" t="n">
        <x:v>46</x:v>
      </x:c>
      <x:c r="B138" s="38" t="str">
        <x:v>第 1 年</x:v>
      </x:c>
      <x:c r="C138" s="38" t="str">
        <x:v>M03 AI 創作與 YouTube 媒體工坊</x:v>
      </x:c>
      <x:c r="D138" s="38" t="n">
        <x:v>14</x:v>
      </x:c>
      <x:c r="E138" s="38" t="str">
        <x:v>一分鐘科普片：為什麼電池會沒電</x:v>
      </x:c>
      <x:c r="F138" s="38" t="n">
        <x:v>2</x:v>
      </x:c>
      <x:c r="G138" s="38" t="str">
        <x:v>跟做實作／專案導向</x:v>
      </x:c>
      <x:c r="H138" s="38" t="str">
        <x:v>一分鐘科普片 為什麼電池會沒電 把複雜概念轉成適合一般人的短解釋 hands on project for kids AI literacy media creation YouTube</x:v>
      </x:c>
      <x:c r="I138" s="38" t="str">
        <x:v>https://www.youtube.com/results?search_query=%E4%B8%80%E5%88%86%E9%90%98%E7%A7%91%E6%99%AE%E7%89%87+%E7%82%BA%E4%BB%80%E9%BA%BC%E9%9B%BB%E6%B1%A0%E6%9C%83%E6%B2%92%E9%9B%BB+%E6%8A%8A%E8%A4%87%E9%9B%9C%E6%A6%82%E5%BF%B5%E8%BD%89%E6%88%90%E9%81%A9%E5%90%88%E4%B8%80%E8%88%AC%E4%BA%BA%E7%9A%84%E7%9F%AD%E8%A7%A3%E9%87%8B+hands+on+project+for+kids+AI+literacy+media+creation+YouTube</x:v>
      </x:c>
      <x:c r="J138" s="38" t="str">
        <x:v>課中實作參考</x:v>
      </x:c>
      <x:c r="K138" s="38" t="str">
        <x:v>8–20 分鐘</x:v>
      </x:c>
      <x:c r="L138" s="38" t="str">
        <x:v>優先找有畫面操作、步驟清楚、可暫停跟做的版本</x:v>
      </x:c>
      <x:c r="M138" s="38" t="str">
        <x:v>□ 未挑選</x:v>
      </x:c>
      <x:c r="N138" s="38" t="str"/>
      <x:c r="O138" s="38" t="str"/>
    </x:row>
    <x:row r="139">
      <x:c r="A139" s="38" t="n">
        <x:v>46</x:v>
      </x:c>
      <x:c r="B139" s="38" t="str">
        <x:v>第 1 年</x:v>
      </x:c>
      <x:c r="C139" s="38" t="str">
        <x:v>M03 AI 創作與 YouTube 媒體工坊</x:v>
      </x:c>
      <x:c r="D139" s="38" t="n">
        <x:v>14</x:v>
      </x:c>
      <x:c r="E139" s="38" t="str">
        <x:v>一分鐘科普片：為什麼電池會沒電</x:v>
      </x:c>
      <x:c r="F139" s="38" t="n">
        <x:v>3</x:v>
      </x:c>
      <x:c r="G139" s="38" t="str">
        <x:v>中文延伸／倫理安全</x:v>
      </x:c>
      <x:c r="H139" s="38" t="str">
        <x:v>一分鐘科普片 為什麼電池會沒電 中文 教學 原理 安全 親子 AI literacy media creation YouTube</x:v>
      </x:c>
      <x:c r="I139" s="38" t="str">
        <x:v>https://www.youtube.com/results?search_query=%E4%B8%80%E5%88%86%E9%90%98%E7%A7%91%E6%99%AE%E7%89%87+%E7%82%BA%E4%BB%80%E9%BA%BC%E9%9B%BB%E6%B1%A0%E6%9C%83%E6%B2%92%E9%9B%BB+%E4%B8%AD%E6%96%87+%E6%95%99%E5%AD%B8+%E5%8E%9F%E7%90%86+%E5%AE%89%E5%85%A8+%E8%A6%AA%E5%AD%90+AI+literacy+media+creation+YouTube</x:v>
      </x:c>
      <x:c r="J139" s="38" t="str">
        <x:v>課後延伸／親子討論</x:v>
      </x:c>
      <x:c r="K139" s="38" t="str">
        <x:v>6–15 分鐘</x:v>
      </x:c>
      <x:c r="L139" s="38" t="str">
        <x:v>補充應用、倫理、安全或真實案例；父子各說一個觀點</x:v>
      </x:c>
      <x:c r="M139" s="38" t="str">
        <x:v>□ 未挑選</x:v>
      </x:c>
      <x:c r="N139" s="38" t="str"/>
      <x:c r="O139" s="38" t="str"/>
    </x:row>
    <x:row r="140">
      <x:c r="A140" s="38" t="n">
        <x:v>47</x:v>
      </x:c>
      <x:c r="B140" s="38" t="str">
        <x:v>第 1 年</x:v>
      </x:c>
      <x:c r="C140" s="38" t="str">
        <x:v>M03 AI 創作與 YouTube 媒體工坊</x:v>
      </x:c>
      <x:c r="D140" s="38" t="n">
        <x:v>15</x:v>
      </x:c>
      <x:c r="E140" s="38" t="str">
        <x:v>試播會：觀眾到底聽懂了嗎</x:v>
      </x:c>
      <x:c r="F140" s="38" t="n">
        <x:v>1</x:v>
      </x:c>
      <x:c r="G140" s="38" t="str">
        <x:v>概念入門／官方優先</x:v>
      </x:c>
      <x:c r="H140" s="38" t="str">
        <x:v>試播會 觀眾到底聽懂了嗎 AI literacy media creation YouTube beginner tutorial Day</x:v>
      </x:c>
      <x:c r="I140" s="38" t="str">
        <x:v>https://www.youtube.com/results?search_query=%E8%A9%A6%E6%92%AD%E6%9C%83+%E8%A7%80%E7%9C%BE%E5%88%B0%E5%BA%95%E8%81%BD%E6%87%82%E4%BA%86%E5%97%8E+AI+literacy+media+creation+YouTube+beginner+tutorial+Day</x:v>
      </x:c>
      <x:c r="J140" s="38" t="str">
        <x:v>課前暖身</x:v>
      </x:c>
      <x:c r="K140" s="38" t="str">
        <x:v>5–12 分鐘</x:v>
      </x:c>
      <x:c r="L140" s="38" t="str">
        <x:v>先建立直覺；看完能說出 3 個關鍵詞</x:v>
      </x:c>
      <x:c r="M140" s="38" t="str">
        <x:v>□ 未挑選</x:v>
      </x:c>
      <x:c r="N140" s="38" t="str"/>
      <x:c r="O140" s="38" t="str"/>
    </x:row>
    <x:row r="141">
      <x:c r="A141" s="38" t="n">
        <x:v>47</x:v>
      </x:c>
      <x:c r="B141" s="38" t="str">
        <x:v>第 1 年</x:v>
      </x:c>
      <x:c r="C141" s="38" t="str">
        <x:v>M03 AI 創作與 YouTube 媒體工坊</x:v>
      </x:c>
      <x:c r="D141" s="38" t="n">
        <x:v>15</x:v>
      </x:c>
      <x:c r="E141" s="38" t="str">
        <x:v>試播會：觀眾到底聽懂了嗎</x:v>
      </x:c>
      <x:c r="F141" s="38" t="n">
        <x:v>2</x:v>
      </x:c>
      <x:c r="G141" s="38" t="str">
        <x:v>跟做實作／專案導向</x:v>
      </x:c>
      <x:c r="H141" s="38" t="str">
        <x:v>試播會 觀眾到底聽懂了嗎 用觀眾問題、記憶點與卡住處改善內容 hands on project for kids AI literacy media creation YouTube</x:v>
      </x:c>
      <x:c r="I141" s="38" t="str">
        <x:v>https://www.youtube.com/results?search_query=%E8%A9%A6%E6%92%AD%E6%9C%83+%E8%A7%80%E7%9C%BE%E5%88%B0%E5%BA%95%E8%81%BD%E6%87%82%E4%BA%86%E5%97%8E+%E7%94%A8%E8%A7%80%E7%9C%BE%E5%95%8F%E9%A1%8C%E3%80%81%E8%A8%98%E6%86%B6%E9%BB%9E%E8%88%87%E5%8D%A1%E4%BD%8F%E8%99%95%E6%94%B9%E5%96%84%E5%85%A7%E5%AE%B9+hands+on+project+for+kids+AI+literacy+media+creation+YouTube</x:v>
      </x:c>
      <x:c r="J141" s="38" t="str">
        <x:v>課中實作參考</x:v>
      </x:c>
      <x:c r="K141" s="38" t="str">
        <x:v>8–20 分鐘</x:v>
      </x:c>
      <x:c r="L141" s="38" t="str">
        <x:v>優先找有畫面操作、步驟清楚、可暫停跟做的版本</x:v>
      </x:c>
      <x:c r="M141" s="38" t="str">
        <x:v>□ 未挑選</x:v>
      </x:c>
      <x:c r="N141" s="38" t="str"/>
      <x:c r="O141" s="38" t="str"/>
    </x:row>
    <x:row r="142">
      <x:c r="A142" s="38" t="n">
        <x:v>47</x:v>
      </x:c>
      <x:c r="B142" s="38" t="str">
        <x:v>第 1 年</x:v>
      </x:c>
      <x:c r="C142" s="38" t="str">
        <x:v>M03 AI 創作與 YouTube 媒體工坊</x:v>
      </x:c>
      <x:c r="D142" s="38" t="n">
        <x:v>15</x:v>
      </x:c>
      <x:c r="E142" s="38" t="str">
        <x:v>試播會：觀眾到底聽懂了嗎</x:v>
      </x:c>
      <x:c r="F142" s="38" t="n">
        <x:v>3</x:v>
      </x:c>
      <x:c r="G142" s="38" t="str">
        <x:v>中文延伸／倫理安全</x:v>
      </x:c>
      <x:c r="H142" s="38" t="str">
        <x:v>試播會 觀眾到底聽懂了嗎 中文 教學 原理 安全 親子 AI literacy media creation YouTube</x:v>
      </x:c>
      <x:c r="I142" s="38" t="str">
        <x:v>https://www.youtube.com/results?search_query=%E8%A9%A6%E6%92%AD%E6%9C%83+%E8%A7%80%E7%9C%BE%E5%88%B0%E5%BA%95%E8%81%BD%E6%87%82%E4%BA%86%E5%97%8E+%E4%B8%AD%E6%96%87+%E6%95%99%E5%AD%B8+%E5%8E%9F%E7%90%86+%E5%AE%89%E5%85%A8+%E8%A6%AA%E5%AD%90+AI+literacy+media+creation+YouTube</x:v>
      </x:c>
      <x:c r="J142" s="38" t="str">
        <x:v>課後延伸／親子討論</x:v>
      </x:c>
      <x:c r="K142" s="38" t="str">
        <x:v>6–15 分鐘</x:v>
      </x:c>
      <x:c r="L142" s="38" t="str">
        <x:v>補充應用、倫理、安全或真實案例；父子各說一個觀點</x:v>
      </x:c>
      <x:c r="M142" s="38" t="str">
        <x:v>□ 未挑選</x:v>
      </x:c>
      <x:c r="N142" s="38" t="str"/>
      <x:c r="O142" s="38" t="str"/>
    </x:row>
    <x:row r="143">
      <x:c r="A143" s="38" t="n">
        <x:v>48</x:v>
      </x:c>
      <x:c r="B143" s="38" t="str">
        <x:v>第 1 年</x:v>
      </x:c>
      <x:c r="C143" s="38" t="str">
        <x:v>M03 AI 創作與 YouTube 媒體工坊</x:v>
      </x:c>
      <x:c r="D143" s="38" t="n">
        <x:v>16</x:v>
      </x:c>
      <x:c r="E143" s="38" t="str">
        <x:v>第一季首映與內容資產歸檔</x:v>
      </x:c>
      <x:c r="F143" s="38" t="n">
        <x:v>1</x:v>
      </x:c>
      <x:c r="G143" s="38" t="str">
        <x:v>概念入門／官方優先</x:v>
      </x:c>
      <x:c r="H143" s="38" t="str">
        <x:v>第一季首映與內容資產歸檔 AI literacy media creation YouTube beginner tutorial Day</x:v>
      </x:c>
      <x:c r="I143" s="38" t="str">
        <x:v>https://www.youtube.com/results?search_query=%E7%AC%AC%E4%B8%80%E5%AD%A3%E9%A6%96%E6%98%A0%E8%88%87%E5%85%A7%E5%AE%B9%E8%B3%87%E7%94%A2%E6%AD%B8%E6%AA%94+AI+literacy+media+creation+YouTube+beginner+tutorial+Day</x:v>
      </x:c>
      <x:c r="J143" s="38" t="str">
        <x:v>課前暖身</x:v>
      </x:c>
      <x:c r="K143" s="38" t="str">
        <x:v>5–12 分鐘</x:v>
      </x:c>
      <x:c r="L143" s="38" t="str">
        <x:v>先建立直覺；看完能說出 3 個關鍵詞</x:v>
      </x:c>
      <x:c r="M143" s="38" t="str">
        <x:v>□ 未挑選</x:v>
      </x:c>
      <x:c r="N143" s="38" t="str"/>
      <x:c r="O143" s="38" t="str"/>
    </x:row>
    <x:row r="144">
      <x:c r="A144" s="38" t="n">
        <x:v>48</x:v>
      </x:c>
      <x:c r="B144" s="38" t="str">
        <x:v>第 1 年</x:v>
      </x:c>
      <x:c r="C144" s="38" t="str">
        <x:v>M03 AI 創作與 YouTube 媒體工坊</x:v>
      </x:c>
      <x:c r="D144" s="38" t="n">
        <x:v>16</x:v>
      </x:c>
      <x:c r="E144" s="38" t="str">
        <x:v>第一季首映與內容資產歸檔</x:v>
      </x:c>
      <x:c r="F144" s="38" t="n">
        <x:v>2</x:v>
      </x:c>
      <x:c r="G144" s="38" t="str">
        <x:v>跟做實作／專案導向</x:v>
      </x:c>
      <x:c r="H144" s="38" t="str">
        <x:v>第一季首映與內容資產歸檔 建立可重複的命名、版本、來源與發布流程 hands on project for kids AI literacy media creation YouTube</x:v>
      </x:c>
      <x:c r="I144" s="38" t="str">
        <x:v>https://www.youtube.com/results?search_query=%E7%AC%AC%E4%B8%80%E5%AD%A3%E9%A6%96%E6%98%A0%E8%88%87%E5%85%A7%E5%AE%B9%E8%B3%87%E7%94%A2%E6%AD%B8%E6%AA%94+%E5%BB%BA%E7%AB%8B%E5%8F%AF%E9%87%8D%E8%A4%87%E7%9A%84%E5%91%BD%E5%90%8D%E3%80%81%E7%89%88%E6%9C%AC%E3%80%81%E4%BE%86%E6%BA%90%E8%88%87%E7%99%BC%E5%B8%83%E6%B5%81%E7%A8%8B+hands+on+project+for+kids+AI+literacy+media+creation+YouTube</x:v>
      </x:c>
      <x:c r="J144" s="38" t="str">
        <x:v>課中實作參考</x:v>
      </x:c>
      <x:c r="K144" s="38" t="str">
        <x:v>8–20 分鐘</x:v>
      </x:c>
      <x:c r="L144" s="38" t="str">
        <x:v>優先找有畫面操作、步驟清楚、可暫停跟做的版本</x:v>
      </x:c>
      <x:c r="M144" s="38" t="str">
        <x:v>□ 未挑選</x:v>
      </x:c>
      <x:c r="N144" s="38" t="str"/>
      <x:c r="O144" s="38" t="str"/>
    </x:row>
    <x:row r="145">
      <x:c r="A145" s="38" t="n">
        <x:v>48</x:v>
      </x:c>
      <x:c r="B145" s="38" t="str">
        <x:v>第 1 年</x:v>
      </x:c>
      <x:c r="C145" s="38" t="str">
        <x:v>M03 AI 創作與 YouTube 媒體工坊</x:v>
      </x:c>
      <x:c r="D145" s="38" t="n">
        <x:v>16</x:v>
      </x:c>
      <x:c r="E145" s="38" t="str">
        <x:v>第一季首映與內容資產歸檔</x:v>
      </x:c>
      <x:c r="F145" s="38" t="n">
        <x:v>3</x:v>
      </x:c>
      <x:c r="G145" s="38" t="str">
        <x:v>中文延伸／倫理安全</x:v>
      </x:c>
      <x:c r="H145" s="38" t="str">
        <x:v>第一季首映與內容資產歸檔 中文 教學 原理 安全 親子 AI literacy media creation YouTube</x:v>
      </x:c>
      <x:c r="I145" s="38" t="str">
        <x:v>https://www.youtube.com/results?search_query=%E7%AC%AC%E4%B8%80%E5%AD%A3%E9%A6%96%E6%98%A0%E8%88%87%E5%85%A7%E5%AE%B9%E8%B3%87%E7%94%A2%E6%AD%B8%E6%AA%94+%E4%B8%AD%E6%96%87+%E6%95%99%E5%AD%B8+%E5%8E%9F%E7%90%86+%E5%AE%89%E5%85%A8+%E8%A6%AA%E5%AD%90+AI+literacy+media+creation+YouTube</x:v>
      </x:c>
      <x:c r="J145" s="38" t="str">
        <x:v>課後延伸／親子討論</x:v>
      </x:c>
      <x:c r="K145" s="38" t="str">
        <x:v>6–15 分鐘</x:v>
      </x:c>
      <x:c r="L145" s="38" t="str">
        <x:v>補充應用、倫理、安全或真實案例；父子各說一個觀點</x:v>
      </x:c>
      <x:c r="M145" s="38" t="str">
        <x:v>□ 未挑選</x:v>
      </x:c>
      <x:c r="N145" s="38" t="str"/>
      <x:c r="O145" s="38" t="str"/>
    </x:row>
    <x:row r="146">
      <x:c r="A146" s="38" t="n">
        <x:v>49</x:v>
      </x:c>
      <x:c r="B146" s="38" t="str">
        <x:v>第 2 年</x:v>
      </x:c>
      <x:c r="C146" s="38" t="str">
        <x:v>M04 Python 冒險：從文字到小遊戲</x:v>
      </x:c>
      <x:c r="D146" s="38" t="n">
        <x:v>1</x:v>
      </x:c>
      <x:c r="E146" s="38" t="str">
        <x:v>Python 第一行：讓電腦說話</x:v>
      </x:c>
      <x:c r="F146" s="38" t="n">
        <x:v>1</x:v>
      </x:c>
      <x:c r="G146" s="38" t="str">
        <x:v>概念入門／官方優先</x:v>
      </x:c>
      <x:c r="H146" s="38" t="str">
        <x:v>Python 第一行 讓電腦說話 Python programming beginner beginner tutorial Python</x:v>
      </x:c>
      <x:c r="I146" s="38" t="str">
        <x:v>https://www.youtube.com/results?search_query=Python+%E7%AC%AC%E4%B8%80%E8%A1%8C+%E8%AE%93%E9%9B%BB%E8%85%A6%E8%AA%AA%E8%A9%B1+Python+programming+beginner+beginner+tutorial+Python</x:v>
      </x:c>
      <x:c r="J146" s="38" t="str">
        <x:v>課前暖身</x:v>
      </x:c>
      <x:c r="K146" s="38" t="str">
        <x:v>5–12 分鐘</x:v>
      </x:c>
      <x:c r="L146" s="38" t="str">
        <x:v>先建立直覺；看完能說出 3 個關鍵詞</x:v>
      </x:c>
      <x:c r="M146" s="38" t="str">
        <x:v>□ 未挑選</x:v>
      </x:c>
      <x:c r="N146" s="38" t="str"/>
      <x:c r="O146" s="38" t="str"/>
    </x:row>
    <x:row r="147">
      <x:c r="A147" s="38" t="n">
        <x:v>49</x:v>
      </x:c>
      <x:c r="B147" s="38" t="str">
        <x:v>第 2 年</x:v>
      </x:c>
      <x:c r="C147" s="38" t="str">
        <x:v>M04 Python 冒險：從文字到小遊戲</x:v>
      </x:c>
      <x:c r="D147" s="38" t="n">
        <x:v>1</x:v>
      </x:c>
      <x:c r="E147" s="38" t="str">
        <x:v>Python 第一行：讓電腦說話</x:v>
      </x:c>
      <x:c r="F147" s="38" t="n">
        <x:v>2</x:v>
      </x:c>
      <x:c r="G147" s="38" t="str">
        <x:v>跟做實作／專案導向</x:v>
      </x:c>
      <x:c r="H147" s="38" t="str">
        <x:v>Python 第一行 讓電腦說話 理解直譯器、程式檔、print、字串與註解 hands on project for kids Python programming beginner</x:v>
      </x:c>
      <x:c r="I147" s="38" t="str">
        <x:v>https://www.youtube.com/results?search_query=Python+%E7%AC%AC%E4%B8%80%E8%A1%8C+%E8%AE%93%E9%9B%BB%E8%85%A6%E8%AA%AA%E8%A9%B1+%E7%90%86%E8%A7%A3%E7%9B%B4%E8%AD%AF%E5%99%A8%E3%80%81%E7%A8%8B%E5%BC%8F%E6%AA%94%E3%80%81print%E3%80%81%E5%AD%97%E4%B8%B2%E8%88%87%E8%A8%BB%E8%A7%A3+hands+on+project+for+kids+Python+programming+beginner</x:v>
      </x:c>
      <x:c r="J147" s="38" t="str">
        <x:v>課中實作參考</x:v>
      </x:c>
      <x:c r="K147" s="38" t="str">
        <x:v>8–20 分鐘</x:v>
      </x:c>
      <x:c r="L147" s="38" t="str">
        <x:v>優先找有畫面操作、步驟清楚、可暫停跟做的版本</x:v>
      </x:c>
      <x:c r="M147" s="38" t="str">
        <x:v>□ 未挑選</x:v>
      </x:c>
      <x:c r="N147" s="38" t="str"/>
      <x:c r="O147" s="38" t="str"/>
    </x:row>
    <x:row r="148">
      <x:c r="A148" s="38" t="n">
        <x:v>49</x:v>
      </x:c>
      <x:c r="B148" s="38" t="str">
        <x:v>第 2 年</x:v>
      </x:c>
      <x:c r="C148" s="38" t="str">
        <x:v>M04 Python 冒險：從文字到小遊戲</x:v>
      </x:c>
      <x:c r="D148" s="38" t="n">
        <x:v>1</x:v>
      </x:c>
      <x:c r="E148" s="38" t="str">
        <x:v>Python 第一行：讓電腦說話</x:v>
      </x:c>
      <x:c r="F148" s="38" t="n">
        <x:v>3</x:v>
      </x:c>
      <x:c r="G148" s="38" t="str">
        <x:v>中文延伸／倫理安全</x:v>
      </x:c>
      <x:c r="H148" s="38" t="str">
        <x:v>Python 第一行 讓電腦說話 中文 教學 原理 安全 親子 Python programming beginner</x:v>
      </x:c>
      <x:c r="I148" s="38" t="str">
        <x:v>https://www.youtube.com/results?search_query=Python+%E7%AC%AC%E4%B8%80%E8%A1%8C+%E8%AE%93%E9%9B%BB%E8%85%A6%E8%AA%AA%E8%A9%B1+%E4%B8%AD%E6%96%87+%E6%95%99%E5%AD%B8+%E5%8E%9F%E7%90%86+%E5%AE%89%E5%85%A8+%E8%A6%AA%E5%AD%90+Python+programming+beginner</x:v>
      </x:c>
      <x:c r="J148" s="38" t="str">
        <x:v>課後延伸／親子討論</x:v>
      </x:c>
      <x:c r="K148" s="38" t="str">
        <x:v>6–15 分鐘</x:v>
      </x:c>
      <x:c r="L148" s="38" t="str">
        <x:v>補充應用、倫理、安全或真實案例；父子各說一個觀點</x:v>
      </x:c>
      <x:c r="M148" s="38" t="str">
        <x:v>□ 未挑選</x:v>
      </x:c>
      <x:c r="N148" s="38" t="str"/>
      <x:c r="O148" s="38" t="str"/>
    </x:row>
    <x:row r="149">
      <x:c r="A149" s="38" t="n">
        <x:v>50</x:v>
      </x:c>
      <x:c r="B149" s="38" t="str">
        <x:v>第 2 年</x:v>
      </x:c>
      <x:c r="C149" s="38" t="str">
        <x:v>M04 Python 冒險：從文字到小遊戲</x:v>
      </x:c>
      <x:c r="D149" s="38" t="n">
        <x:v>2</x:v>
      </x:c>
      <x:c r="E149" s="38" t="str">
        <x:v>變數：替資料貼標籤</x:v>
      </x:c>
      <x:c r="F149" s="38" t="n">
        <x:v>1</x:v>
      </x:c>
      <x:c r="G149" s="38" t="str">
        <x:v>概念入門／官方優先</x:v>
      </x:c>
      <x:c r="H149" s="38" t="str">
        <x:v>變數 替資料貼標籤 Python programming beginner beginner tutorial Python</x:v>
      </x:c>
      <x:c r="I149" s="38" t="str">
        <x:v>https://www.youtube.com/results?search_query=%E8%AE%8A%E6%95%B8+%E6%9B%BF%E8%B3%87%E6%96%99%E8%B2%BC%E6%A8%99%E7%B1%A4+Python+programming+beginner+beginner+tutorial+Python</x:v>
      </x:c>
      <x:c r="J149" s="38" t="str">
        <x:v>課前暖身</x:v>
      </x:c>
      <x:c r="K149" s="38" t="str">
        <x:v>5–12 分鐘</x:v>
      </x:c>
      <x:c r="L149" s="38" t="str">
        <x:v>先建立直覺；看完能說出 3 個關鍵詞</x:v>
      </x:c>
      <x:c r="M149" s="38" t="str">
        <x:v>□ 未挑選</x:v>
      </x:c>
      <x:c r="N149" s="38" t="str"/>
      <x:c r="O149" s="38" t="str"/>
    </x:row>
    <x:row r="150">
      <x:c r="A150" s="38" t="n">
        <x:v>50</x:v>
      </x:c>
      <x:c r="B150" s="38" t="str">
        <x:v>第 2 年</x:v>
      </x:c>
      <x:c r="C150" s="38" t="str">
        <x:v>M04 Python 冒險：從文字到小遊戲</x:v>
      </x:c>
      <x:c r="D150" s="38" t="n">
        <x:v>2</x:v>
      </x:c>
      <x:c r="E150" s="38" t="str">
        <x:v>變數：替資料貼標籤</x:v>
      </x:c>
      <x:c r="F150" s="38" t="n">
        <x:v>2</x:v>
      </x:c>
      <x:c r="G150" s="38" t="str">
        <x:v>跟做實作／專案導向</x:v>
      </x:c>
      <x:c r="H150" s="38" t="str">
        <x:v>變數 替資料貼標籤 使用字串、整數、浮點數與布林值 hands on project for kids Python programming beginner</x:v>
      </x:c>
      <x:c r="I150" s="38" t="str">
        <x:v>https://www.youtube.com/results?search_query=%E8%AE%8A%E6%95%B8+%E6%9B%BF%E8%B3%87%E6%96%99%E8%B2%BC%E6%A8%99%E7%B1%A4+%E4%BD%BF%E7%94%A8%E5%AD%97%E4%B8%B2%E3%80%81%E6%95%B4%E6%95%B8%E3%80%81%E6%B5%AE%E9%BB%9E%E6%95%B8%E8%88%87%E5%B8%83%E6%9E%97%E5%80%BC+hands+on+project+for+kids+Python+programming+beginner</x:v>
      </x:c>
      <x:c r="J150" s="38" t="str">
        <x:v>課中實作參考</x:v>
      </x:c>
      <x:c r="K150" s="38" t="str">
        <x:v>8–20 分鐘</x:v>
      </x:c>
      <x:c r="L150" s="38" t="str">
        <x:v>優先找有畫面操作、步驟清楚、可暫停跟做的版本</x:v>
      </x:c>
      <x:c r="M150" s="38" t="str">
        <x:v>□ 未挑選</x:v>
      </x:c>
      <x:c r="N150" s="38" t="str"/>
      <x:c r="O150" s="38" t="str"/>
    </x:row>
    <x:row r="151">
      <x:c r="A151" s="38" t="n">
        <x:v>50</x:v>
      </x:c>
      <x:c r="B151" s="38" t="str">
        <x:v>第 2 年</x:v>
      </x:c>
      <x:c r="C151" s="38" t="str">
        <x:v>M04 Python 冒險：從文字到小遊戲</x:v>
      </x:c>
      <x:c r="D151" s="38" t="n">
        <x:v>2</x:v>
      </x:c>
      <x:c r="E151" s="38" t="str">
        <x:v>變數：替資料貼標籤</x:v>
      </x:c>
      <x:c r="F151" s="38" t="n">
        <x:v>3</x:v>
      </x:c>
      <x:c r="G151" s="38" t="str">
        <x:v>中文延伸／倫理安全</x:v>
      </x:c>
      <x:c r="H151" s="38" t="str">
        <x:v>變數 替資料貼標籤 中文 教學 原理 安全 親子 Python programming beginner</x:v>
      </x:c>
      <x:c r="I151" s="38" t="str">
        <x:v>https://www.youtube.com/results?search_query=%E8%AE%8A%E6%95%B8+%E6%9B%BF%E8%B3%87%E6%96%99%E8%B2%BC%E6%A8%99%E7%B1%A4+%E4%B8%AD%E6%96%87+%E6%95%99%E5%AD%B8+%E5%8E%9F%E7%90%86+%E5%AE%89%E5%85%A8+%E8%A6%AA%E5%AD%90+Python+programming+beginner</x:v>
      </x:c>
      <x:c r="J151" s="38" t="str">
        <x:v>課後延伸／親子討論</x:v>
      </x:c>
      <x:c r="K151" s="38" t="str">
        <x:v>6–15 分鐘</x:v>
      </x:c>
      <x:c r="L151" s="38" t="str">
        <x:v>補充應用、倫理、安全或真實案例；父子各說一個觀點</x:v>
      </x:c>
      <x:c r="M151" s="38" t="str">
        <x:v>□ 未挑選</x:v>
      </x:c>
      <x:c r="N151" s="38" t="str"/>
      <x:c r="O151" s="38" t="str"/>
    </x:row>
    <x:row r="152">
      <x:c r="A152" s="38" t="n">
        <x:v>51</x:v>
      </x:c>
      <x:c r="B152" s="38" t="str">
        <x:v>第 2 年</x:v>
      </x:c>
      <x:c r="C152" s="38" t="str">
        <x:v>M04 Python 冒險：從文字到小遊戲</x:v>
      </x:c>
      <x:c r="D152" s="38" t="n">
        <x:v>3</x:v>
      </x:c>
      <x:c r="E152" s="38" t="str">
        <x:v>input/output：會問問題的程式</x:v>
      </x:c>
      <x:c r="F152" s="38" t="n">
        <x:v>1</x:v>
      </x:c>
      <x:c r="G152" s="38" t="str">
        <x:v>概念入門／官方優先</x:v>
      </x:c>
      <x:c r="H152" s="38" t="str">
        <x:v>input/output 會問問題的程式 Python programming beginner beginner tutorial Python</x:v>
      </x:c>
      <x:c r="I152" s="38" t="str">
        <x:v>https://www.youtube.com/results?search_query=input%2Foutput+%E6%9C%83%E5%95%8F%E5%95%8F%E9%A1%8C%E7%9A%84%E7%A8%8B%E5%BC%8F+Python+programming+beginner+beginner+tutorial+Python</x:v>
      </x:c>
      <x:c r="J152" s="38" t="str">
        <x:v>課前暖身</x:v>
      </x:c>
      <x:c r="K152" s="38" t="str">
        <x:v>5–12 分鐘</x:v>
      </x:c>
      <x:c r="L152" s="38" t="str">
        <x:v>先建立直覺；看完能說出 3 個關鍵詞</x:v>
      </x:c>
      <x:c r="M152" s="38" t="str">
        <x:v>□ 未挑選</x:v>
      </x:c>
      <x:c r="N152" s="38" t="str"/>
      <x:c r="O152" s="38" t="str"/>
    </x:row>
    <x:row r="153">
      <x:c r="A153" s="38" t="n">
        <x:v>51</x:v>
      </x:c>
      <x:c r="B153" s="38" t="str">
        <x:v>第 2 年</x:v>
      </x:c>
      <x:c r="C153" s="38" t="str">
        <x:v>M04 Python 冒險：從文字到小遊戲</x:v>
      </x:c>
      <x:c r="D153" s="38" t="n">
        <x:v>3</x:v>
      </x:c>
      <x:c r="E153" s="38" t="str">
        <x:v>input/output：會問問題的程式</x:v>
      </x:c>
      <x:c r="F153" s="38" t="n">
        <x:v>2</x:v>
      </x:c>
      <x:c r="G153" s="38" t="str">
        <x:v>跟做實作／專案導向</x:v>
      </x:c>
      <x:c r="H153" s="38" t="str">
        <x:v>input/output 會問問題的程式 取得使用者輸入、轉型並產生個人化輸出 hands on project for kids Python programming beginner</x:v>
      </x:c>
      <x:c r="I153" s="38" t="str">
        <x:v>https://www.youtube.com/results?search_query=input%2Foutput+%E6%9C%83%E5%95%8F%E5%95%8F%E9%A1%8C%E7%9A%84%E7%A8%8B%E5%BC%8F+%E5%8F%96%E5%BE%97%E4%BD%BF%E7%94%A8%E8%80%85%E8%BC%B8%E5%85%A5%E3%80%81%E8%BD%89%E5%9E%8B%E4%B8%A6%E7%94%A2%E7%94%9F%E5%80%8B%E4%BA%BA%E5%8C%96%E8%BC%B8%E5%87%BA+hands+on+project+for+kids+Python+programming+beginner</x:v>
      </x:c>
      <x:c r="J153" s="38" t="str">
        <x:v>課中實作參考</x:v>
      </x:c>
      <x:c r="K153" s="38" t="str">
        <x:v>8–20 分鐘</x:v>
      </x:c>
      <x:c r="L153" s="38" t="str">
        <x:v>優先找有畫面操作、步驟清楚、可暫停跟做的版本</x:v>
      </x:c>
      <x:c r="M153" s="38" t="str">
        <x:v>□ 未挑選</x:v>
      </x:c>
      <x:c r="N153" s="38" t="str"/>
      <x:c r="O153" s="38" t="str"/>
    </x:row>
    <x:row r="154">
      <x:c r="A154" s="38" t="n">
        <x:v>51</x:v>
      </x:c>
      <x:c r="B154" s="38" t="str">
        <x:v>第 2 年</x:v>
      </x:c>
      <x:c r="C154" s="38" t="str">
        <x:v>M04 Python 冒險：從文字到小遊戲</x:v>
      </x:c>
      <x:c r="D154" s="38" t="n">
        <x:v>3</x:v>
      </x:c>
      <x:c r="E154" s="38" t="str">
        <x:v>input/output：會問問題的程式</x:v>
      </x:c>
      <x:c r="F154" s="38" t="n">
        <x:v>3</x:v>
      </x:c>
      <x:c r="G154" s="38" t="str">
        <x:v>中文延伸／倫理安全</x:v>
      </x:c>
      <x:c r="H154" s="38" t="str">
        <x:v>input/output 會問問題的程式 中文 教學 原理 安全 親子 Python programming beginner</x:v>
      </x:c>
      <x:c r="I154" s="38" t="str">
        <x:v>https://www.youtube.com/results?search_query=input%2Foutput+%E6%9C%83%E5%95%8F%E5%95%8F%E9%A1%8C%E7%9A%84%E7%A8%8B%E5%BC%8F+%E4%B8%AD%E6%96%87+%E6%95%99%E5%AD%B8+%E5%8E%9F%E7%90%86+%E5%AE%89%E5%85%A8+%E8%A6%AA%E5%AD%90+Python+programming+beginner</x:v>
      </x:c>
      <x:c r="J154" s="38" t="str">
        <x:v>課後延伸／親子討論</x:v>
      </x:c>
      <x:c r="K154" s="38" t="str">
        <x:v>6–15 分鐘</x:v>
      </x:c>
      <x:c r="L154" s="38" t="str">
        <x:v>補充應用、倫理、安全或真實案例；父子各說一個觀點</x:v>
      </x:c>
      <x:c r="M154" s="38" t="str">
        <x:v>□ 未挑選</x:v>
      </x:c>
      <x:c r="N154" s="38" t="str"/>
      <x:c r="O154" s="38" t="str"/>
    </x:row>
    <x:row r="155">
      <x:c r="A155" s="38" t="n">
        <x:v>52</x:v>
      </x:c>
      <x:c r="B155" s="38" t="str">
        <x:v>第 2 年</x:v>
      </x:c>
      <x:c r="C155" s="38" t="str">
        <x:v>M04 Python 冒險：從文字到小遊戲</x:v>
      </x:c>
      <x:c r="D155" s="38" t="n">
        <x:v>4</x:v>
      </x:c>
      <x:c r="E155" s="38" t="str">
        <x:v>if/else：猜數字對決</x:v>
      </x:c>
      <x:c r="F155" s="38" t="n">
        <x:v>1</x:v>
      </x:c>
      <x:c r="G155" s="38" t="str">
        <x:v>概念入門／官方優先</x:v>
      </x:c>
      <x:c r="H155" s="38" t="str">
        <x:v>if/else 猜數字對決 Python programming beginner beginner tutorial Python</x:v>
      </x:c>
      <x:c r="I155" s="38" t="str">
        <x:v>https://www.youtube.com/results?search_query=if%2Felse+%E7%8C%9C%E6%95%B8%E5%AD%97%E5%B0%8D%E6%B1%BA+Python+programming+beginner+beginner+tutorial+Python</x:v>
      </x:c>
      <x:c r="J155" s="38" t="str">
        <x:v>課前暖身</x:v>
      </x:c>
      <x:c r="K155" s="38" t="str">
        <x:v>5–12 分鐘</x:v>
      </x:c>
      <x:c r="L155" s="38" t="str">
        <x:v>先建立直覺；看完能說出 3 個關鍵詞</x:v>
      </x:c>
      <x:c r="M155" s="38" t="str">
        <x:v>□ 未挑選</x:v>
      </x:c>
      <x:c r="N155" s="38" t="str"/>
      <x:c r="O155" s="38" t="str"/>
    </x:row>
    <x:row r="156">
      <x:c r="A156" s="38" t="n">
        <x:v>52</x:v>
      </x:c>
      <x:c r="B156" s="38" t="str">
        <x:v>第 2 年</x:v>
      </x:c>
      <x:c r="C156" s="38" t="str">
        <x:v>M04 Python 冒險：從文字到小遊戲</x:v>
      </x:c>
      <x:c r="D156" s="38" t="n">
        <x:v>4</x:v>
      </x:c>
      <x:c r="E156" s="38" t="str">
        <x:v>if/else：猜數字對決</x:v>
      </x:c>
      <x:c r="F156" s="38" t="n">
        <x:v>2</x:v>
      </x:c>
      <x:c r="G156" s="38" t="str">
        <x:v>跟做實作／專案導向</x:v>
      </x:c>
      <x:c r="H156" s="38" t="str">
        <x:v>if/else 猜數字對決 用比較運算與條件控制不同路徑 hands on project for kids Python programming beginner</x:v>
      </x:c>
      <x:c r="I156" s="38" t="str">
        <x:v>https://www.youtube.com/results?search_query=if%2Felse+%E7%8C%9C%E6%95%B8%E5%AD%97%E5%B0%8D%E6%B1%BA+%E7%94%A8%E6%AF%94%E8%BC%83%E9%81%8B%E7%AE%97%E8%88%87%E6%A2%9D%E4%BB%B6%E6%8E%A7%E5%88%B6%E4%B8%8D%E5%90%8C%E8%B7%AF%E5%BE%91+hands+on+project+for+kids+Python+programming+beginner</x:v>
      </x:c>
      <x:c r="J156" s="38" t="str">
        <x:v>課中實作參考</x:v>
      </x:c>
      <x:c r="K156" s="38" t="str">
        <x:v>8–20 分鐘</x:v>
      </x:c>
      <x:c r="L156" s="38" t="str">
        <x:v>優先找有畫面操作、步驟清楚、可暫停跟做的版本</x:v>
      </x:c>
      <x:c r="M156" s="38" t="str">
        <x:v>□ 未挑選</x:v>
      </x:c>
      <x:c r="N156" s="38" t="str"/>
      <x:c r="O156" s="38" t="str"/>
    </x:row>
    <x:row r="157">
      <x:c r="A157" s="38" t="n">
        <x:v>52</x:v>
      </x:c>
      <x:c r="B157" s="38" t="str">
        <x:v>第 2 年</x:v>
      </x:c>
      <x:c r="C157" s="38" t="str">
        <x:v>M04 Python 冒險：從文字到小遊戲</x:v>
      </x:c>
      <x:c r="D157" s="38" t="n">
        <x:v>4</x:v>
      </x:c>
      <x:c r="E157" s="38" t="str">
        <x:v>if/else：猜數字對決</x:v>
      </x:c>
      <x:c r="F157" s="38" t="n">
        <x:v>3</x:v>
      </x:c>
      <x:c r="G157" s="38" t="str">
        <x:v>中文延伸／倫理安全</x:v>
      </x:c>
      <x:c r="H157" s="38" t="str">
        <x:v>if/else 猜數字對決 中文 教學 原理 安全 親子 Python programming beginner</x:v>
      </x:c>
      <x:c r="I157" s="38" t="str">
        <x:v>https://www.youtube.com/results?search_query=if%2Felse+%E7%8C%9C%E6%95%B8%E5%AD%97%E5%B0%8D%E6%B1%BA+%E4%B8%AD%E6%96%87+%E6%95%99%E5%AD%B8+%E5%8E%9F%E7%90%86+%E5%AE%89%E5%85%A8+%E8%A6%AA%E5%AD%90+Python+programming+beginner</x:v>
      </x:c>
      <x:c r="J157" s="38" t="str">
        <x:v>課後延伸／親子討論</x:v>
      </x:c>
      <x:c r="K157" s="38" t="str">
        <x:v>6–15 分鐘</x:v>
      </x:c>
      <x:c r="L157" s="38" t="str">
        <x:v>補充應用、倫理、安全或真實案例；父子各說一個觀點</x:v>
      </x:c>
      <x:c r="M157" s="38" t="str">
        <x:v>□ 未挑選</x:v>
      </x:c>
      <x:c r="N157" s="38" t="str"/>
      <x:c r="O157" s="38" t="str"/>
    </x:row>
    <x:row r="158">
      <x:c r="A158" s="38" t="n">
        <x:v>53</x:v>
      </x:c>
      <x:c r="B158" s="38" t="str">
        <x:v>第 2 年</x:v>
      </x:c>
      <x:c r="C158" s="38" t="str">
        <x:v>M04 Python 冒險：從文字到小遊戲</x:v>
      </x:c>
      <x:c r="D158" s="38" t="n">
        <x:v>5</x:v>
      </x:c>
      <x:c r="E158" s="38" t="str">
        <x:v>while：直到任務完成</x:v>
      </x:c>
      <x:c r="F158" s="38" t="n">
        <x:v>1</x:v>
      </x:c>
      <x:c r="G158" s="38" t="str">
        <x:v>概念入門／官方優先</x:v>
      </x:c>
      <x:c r="H158" s="38" t="str">
        <x:v>while 直到任務完成 Python programming beginner beginner tutorial Python</x:v>
      </x:c>
      <x:c r="I158" s="38" t="str">
        <x:v>https://www.youtube.com/results?search_query=while+%E7%9B%B4%E5%88%B0%E4%BB%BB%E5%8B%99%E5%AE%8C%E6%88%90+Python+programming+beginner+beginner+tutorial+Python</x:v>
      </x:c>
      <x:c r="J158" s="38" t="str">
        <x:v>課前暖身</x:v>
      </x:c>
      <x:c r="K158" s="38" t="str">
        <x:v>5–12 分鐘</x:v>
      </x:c>
      <x:c r="L158" s="38" t="str">
        <x:v>先建立直覺；看完能說出 3 個關鍵詞</x:v>
      </x:c>
      <x:c r="M158" s="38" t="str">
        <x:v>□ 未挑選</x:v>
      </x:c>
      <x:c r="N158" s="38" t="str"/>
      <x:c r="O158" s="38" t="str"/>
    </x:row>
    <x:row r="159">
      <x:c r="A159" s="38" t="n">
        <x:v>53</x:v>
      </x:c>
      <x:c r="B159" s="38" t="str">
        <x:v>第 2 年</x:v>
      </x:c>
      <x:c r="C159" s="38" t="str">
        <x:v>M04 Python 冒險：從文字到小遊戲</x:v>
      </x:c>
      <x:c r="D159" s="38" t="n">
        <x:v>5</x:v>
      </x:c>
      <x:c r="E159" s="38" t="str">
        <x:v>while：直到任務完成</x:v>
      </x:c>
      <x:c r="F159" s="38" t="n">
        <x:v>2</x:v>
      </x:c>
      <x:c r="G159" s="38" t="str">
        <x:v>跟做實作／專案導向</x:v>
      </x:c>
      <x:c r="H159" s="38" t="str">
        <x:v>while 直到任務完成 理解重複條件、結束條件與無限迴圈 hands on project for kids Python programming beginner</x:v>
      </x:c>
      <x:c r="I159" s="38" t="str">
        <x:v>https://www.youtube.com/results?search_query=while+%E7%9B%B4%E5%88%B0%E4%BB%BB%E5%8B%99%E5%AE%8C%E6%88%90+%E7%90%86%E8%A7%A3%E9%87%8D%E8%A4%87%E6%A2%9D%E4%BB%B6%E3%80%81%E7%B5%90%E6%9D%9F%E6%A2%9D%E4%BB%B6%E8%88%87%E7%84%A1%E9%99%90%E8%BF%B4%E5%9C%88+hands+on+project+for+kids+Python+programming+beginner</x:v>
      </x:c>
      <x:c r="J159" s="38" t="str">
        <x:v>課中實作參考</x:v>
      </x:c>
      <x:c r="K159" s="38" t="str">
        <x:v>8–20 分鐘</x:v>
      </x:c>
      <x:c r="L159" s="38" t="str">
        <x:v>優先找有畫面操作、步驟清楚、可暫停跟做的版本</x:v>
      </x:c>
      <x:c r="M159" s="38" t="str">
        <x:v>□ 未挑選</x:v>
      </x:c>
      <x:c r="N159" s="38" t="str"/>
      <x:c r="O159" s="38" t="str"/>
    </x:row>
    <x:row r="160">
      <x:c r="A160" s="38" t="n">
        <x:v>53</x:v>
      </x:c>
      <x:c r="B160" s="38" t="str">
        <x:v>第 2 年</x:v>
      </x:c>
      <x:c r="C160" s="38" t="str">
        <x:v>M04 Python 冒險：從文字到小遊戲</x:v>
      </x:c>
      <x:c r="D160" s="38" t="n">
        <x:v>5</x:v>
      </x:c>
      <x:c r="E160" s="38" t="str">
        <x:v>while：直到任務完成</x:v>
      </x:c>
      <x:c r="F160" s="38" t="n">
        <x:v>3</x:v>
      </x:c>
      <x:c r="G160" s="38" t="str">
        <x:v>中文延伸／倫理安全</x:v>
      </x:c>
      <x:c r="H160" s="38" t="str">
        <x:v>while 直到任務完成 中文 教學 原理 安全 親子 Python programming beginner</x:v>
      </x:c>
      <x:c r="I160" s="38" t="str">
        <x:v>https://www.youtube.com/results?search_query=while+%E7%9B%B4%E5%88%B0%E4%BB%BB%E5%8B%99%E5%AE%8C%E6%88%90+%E4%B8%AD%E6%96%87+%E6%95%99%E5%AD%B8+%E5%8E%9F%E7%90%86+%E5%AE%89%E5%85%A8+%E8%A6%AA%E5%AD%90+Python+programming+beginner</x:v>
      </x:c>
      <x:c r="J160" s="38" t="str">
        <x:v>課後延伸／親子討論</x:v>
      </x:c>
      <x:c r="K160" s="38" t="str">
        <x:v>6–15 分鐘</x:v>
      </x:c>
      <x:c r="L160" s="38" t="str">
        <x:v>補充應用、倫理、安全或真實案例；父子各說一個觀點</x:v>
      </x:c>
      <x:c r="M160" s="38" t="str">
        <x:v>□ 未挑選</x:v>
      </x:c>
      <x:c r="N160" s="38" t="str"/>
      <x:c r="O160" s="38" t="str"/>
    </x:row>
    <x:row r="161">
      <x:c r="A161" s="38" t="n">
        <x:v>54</x:v>
      </x:c>
      <x:c r="B161" s="38" t="str">
        <x:v>第 2 年</x:v>
      </x:c>
      <x:c r="C161" s="38" t="str">
        <x:v>M04 Python 冒險：從文字到小遊戲</x:v>
      </x:c>
      <x:c r="D161" s="38" t="n">
        <x:v>6</x:v>
      </x:c>
      <x:c r="E161" s="38" t="str">
        <x:v>for/range：巡邏與計數</x:v>
      </x:c>
      <x:c r="F161" s="38" t="n">
        <x:v>1</x:v>
      </x:c>
      <x:c r="G161" s="38" t="str">
        <x:v>概念入門／官方優先</x:v>
      </x:c>
      <x:c r="H161" s="38" t="str">
        <x:v>for/range 巡邏與計數 Python programming beginner beginner tutorial Python</x:v>
      </x:c>
      <x:c r="I161" s="38" t="str">
        <x:v>https://www.youtube.com/results?search_query=for%2Frange+%E5%B7%A1%E9%82%8F%E8%88%87%E8%A8%88%E6%95%B8+Python+programming+beginner+beginner+tutorial+Python</x:v>
      </x:c>
      <x:c r="J161" s="38" t="str">
        <x:v>課前暖身</x:v>
      </x:c>
      <x:c r="K161" s="38" t="str">
        <x:v>5–12 分鐘</x:v>
      </x:c>
      <x:c r="L161" s="38" t="str">
        <x:v>先建立直覺；看完能說出 3 個關鍵詞</x:v>
      </x:c>
      <x:c r="M161" s="38" t="str">
        <x:v>□ 未挑選</x:v>
      </x:c>
      <x:c r="N161" s="38" t="str"/>
      <x:c r="O161" s="38" t="str"/>
    </x:row>
    <x:row r="162">
      <x:c r="A162" s="38" t="n">
        <x:v>54</x:v>
      </x:c>
      <x:c r="B162" s="38" t="str">
        <x:v>第 2 年</x:v>
      </x:c>
      <x:c r="C162" s="38" t="str">
        <x:v>M04 Python 冒險：從文字到小遊戲</x:v>
      </x:c>
      <x:c r="D162" s="38" t="n">
        <x:v>6</x:v>
      </x:c>
      <x:c r="E162" s="38" t="str">
        <x:v>for/range：巡邏與計數</x:v>
      </x:c>
      <x:c r="F162" s="38" t="n">
        <x:v>2</x:v>
      </x:c>
      <x:c r="G162" s="38" t="str">
        <x:v>跟做實作／專案導向</x:v>
      </x:c>
      <x:c r="H162" s="38" t="str">
        <x:v>for/range 巡邏與計數 用 for 處理固定次數與序列 hands on project for kids Python programming beginner</x:v>
      </x:c>
      <x:c r="I162" s="38" t="str">
        <x:v>https://www.youtube.com/results?search_query=for%2Frange+%E5%B7%A1%E9%82%8F%E8%88%87%E8%A8%88%E6%95%B8+%E7%94%A8+for+%E8%99%95%E7%90%86%E5%9B%BA%E5%AE%9A%E6%AC%A1%E6%95%B8%E8%88%87%E5%BA%8F%E5%88%97+hands+on+project+for+kids+Python+programming+beginner</x:v>
      </x:c>
      <x:c r="J162" s="38" t="str">
        <x:v>課中實作參考</x:v>
      </x:c>
      <x:c r="K162" s="38" t="str">
        <x:v>8–20 分鐘</x:v>
      </x:c>
      <x:c r="L162" s="38" t="str">
        <x:v>優先找有畫面操作、步驟清楚、可暫停跟做的版本</x:v>
      </x:c>
      <x:c r="M162" s="38" t="str">
        <x:v>□ 未挑選</x:v>
      </x:c>
      <x:c r="N162" s="38" t="str"/>
      <x:c r="O162" s="38" t="str"/>
    </x:row>
    <x:row r="163">
      <x:c r="A163" s="38" t="n">
        <x:v>54</x:v>
      </x:c>
      <x:c r="B163" s="38" t="str">
        <x:v>第 2 年</x:v>
      </x:c>
      <x:c r="C163" s="38" t="str">
        <x:v>M04 Python 冒險：從文字到小遊戲</x:v>
      </x:c>
      <x:c r="D163" s="38" t="n">
        <x:v>6</x:v>
      </x:c>
      <x:c r="E163" s="38" t="str">
        <x:v>for/range：巡邏與計數</x:v>
      </x:c>
      <x:c r="F163" s="38" t="n">
        <x:v>3</x:v>
      </x:c>
      <x:c r="G163" s="38" t="str">
        <x:v>中文延伸／倫理安全</x:v>
      </x:c>
      <x:c r="H163" s="38" t="str">
        <x:v>for/range 巡邏與計數 中文 教學 原理 安全 親子 Python programming beginner</x:v>
      </x:c>
      <x:c r="I163" s="38" t="str">
        <x:v>https://www.youtube.com/results?search_query=for%2Frange+%E5%B7%A1%E9%82%8F%E8%88%87%E8%A8%88%E6%95%B8+%E4%B8%AD%E6%96%87+%E6%95%99%E5%AD%B8+%E5%8E%9F%E7%90%86+%E5%AE%89%E5%85%A8+%E8%A6%AA%E5%AD%90+Python+programming+beginner</x:v>
      </x:c>
      <x:c r="J163" s="38" t="str">
        <x:v>課後延伸／親子討論</x:v>
      </x:c>
      <x:c r="K163" s="38" t="str">
        <x:v>6–15 分鐘</x:v>
      </x:c>
      <x:c r="L163" s="38" t="str">
        <x:v>補充應用、倫理、安全或真實案例；父子各說一個觀點</x:v>
      </x:c>
      <x:c r="M163" s="38" t="str">
        <x:v>□ 未挑選</x:v>
      </x:c>
      <x:c r="N163" s="38" t="str"/>
      <x:c r="O163" s="38" t="str"/>
    </x:row>
    <x:row r="164">
      <x:c r="A164" s="38" t="n">
        <x:v>55</x:v>
      </x:c>
      <x:c r="B164" s="38" t="str">
        <x:v>第 2 年</x:v>
      </x:c>
      <x:c r="C164" s="38" t="str">
        <x:v>M04 Python 冒險：從文字到小遊戲</x:v>
      </x:c>
      <x:c r="D164" s="38" t="n">
        <x:v>7</x:v>
      </x:c>
      <x:c r="E164" s="38" t="str">
        <x:v>list：冒險者的背包</x:v>
      </x:c>
      <x:c r="F164" s="38" t="n">
        <x:v>1</x:v>
      </x:c>
      <x:c r="G164" s="38" t="str">
        <x:v>概念入門／官方優先</x:v>
      </x:c>
      <x:c r="H164" s="38" t="str">
        <x:v>list 冒險者的背包 Python programming beginner beginner tutorial Python</x:v>
      </x:c>
      <x:c r="I164" s="38" t="str">
        <x:v>https://www.youtube.com/results?search_query=list+%E5%86%92%E9%9A%AA%E8%80%85%E7%9A%84%E8%83%8C%E5%8C%85+Python+programming+beginner+beginner+tutorial+Python</x:v>
      </x:c>
      <x:c r="J164" s="38" t="str">
        <x:v>課前暖身</x:v>
      </x:c>
      <x:c r="K164" s="38" t="str">
        <x:v>5–12 分鐘</x:v>
      </x:c>
      <x:c r="L164" s="38" t="str">
        <x:v>先建立直覺；看完能說出 3 個關鍵詞</x:v>
      </x:c>
      <x:c r="M164" s="38" t="str">
        <x:v>□ 未挑選</x:v>
      </x:c>
      <x:c r="N164" s="38" t="str"/>
      <x:c r="O164" s="38" t="str"/>
    </x:row>
    <x:row r="165">
      <x:c r="A165" s="38" t="n">
        <x:v>55</x:v>
      </x:c>
      <x:c r="B165" s="38" t="str">
        <x:v>第 2 年</x:v>
      </x:c>
      <x:c r="C165" s="38" t="str">
        <x:v>M04 Python 冒險：從文字到小遊戲</x:v>
      </x:c>
      <x:c r="D165" s="38" t="n">
        <x:v>7</x:v>
      </x:c>
      <x:c r="E165" s="38" t="str">
        <x:v>list：冒險者的背包</x:v>
      </x:c>
      <x:c r="F165" s="38" t="n">
        <x:v>2</x:v>
      </x:c>
      <x:c r="G165" s="38" t="str">
        <x:v>跟做實作／專案導向</x:v>
      </x:c>
      <x:c r="H165" s="38" t="str">
        <x:v>list 冒險者的背包 新增、刪除、搜尋、排序與遍歷清單 hands on project for kids Python programming beginner</x:v>
      </x:c>
      <x:c r="I165" s="38" t="str">
        <x:v>https://www.youtube.com/results?search_query=list+%E5%86%92%E9%9A%AA%E8%80%85%E7%9A%84%E8%83%8C%E5%8C%85+%E6%96%B0%E5%A2%9E%E3%80%81%E5%88%AA%E9%99%A4%E3%80%81%E6%90%9C%E5%B0%8B%E3%80%81%E6%8E%92%E5%BA%8F%E8%88%87%E9%81%8D%E6%AD%B7%E6%B8%85%E5%96%AE+hands+on+project+for+kids+Python+programming+beginner</x:v>
      </x:c>
      <x:c r="J165" s="38" t="str">
        <x:v>課中實作參考</x:v>
      </x:c>
      <x:c r="K165" s="38" t="str">
        <x:v>8–20 分鐘</x:v>
      </x:c>
      <x:c r="L165" s="38" t="str">
        <x:v>優先找有畫面操作、步驟清楚、可暫停跟做的版本</x:v>
      </x:c>
      <x:c r="M165" s="38" t="str">
        <x:v>□ 未挑選</x:v>
      </x:c>
      <x:c r="N165" s="38" t="str"/>
      <x:c r="O165" s="38" t="str"/>
    </x:row>
    <x:row r="166">
      <x:c r="A166" s="38" t="n">
        <x:v>55</x:v>
      </x:c>
      <x:c r="B166" s="38" t="str">
        <x:v>第 2 年</x:v>
      </x:c>
      <x:c r="C166" s="38" t="str">
        <x:v>M04 Python 冒險：從文字到小遊戲</x:v>
      </x:c>
      <x:c r="D166" s="38" t="n">
        <x:v>7</x:v>
      </x:c>
      <x:c r="E166" s="38" t="str">
        <x:v>list：冒險者的背包</x:v>
      </x:c>
      <x:c r="F166" s="38" t="n">
        <x:v>3</x:v>
      </x:c>
      <x:c r="G166" s="38" t="str">
        <x:v>中文延伸／倫理安全</x:v>
      </x:c>
      <x:c r="H166" s="38" t="str">
        <x:v>list 冒險者的背包 中文 教學 原理 安全 親子 Python programming beginner</x:v>
      </x:c>
      <x:c r="I166" s="38" t="str">
        <x:v>https://www.youtube.com/results?search_query=list+%E5%86%92%E9%9A%AA%E8%80%85%E7%9A%84%E8%83%8C%E5%8C%85+%E4%B8%AD%E6%96%87+%E6%95%99%E5%AD%B8+%E5%8E%9F%E7%90%86+%E5%AE%89%E5%85%A8+%E8%A6%AA%E5%AD%90+Python+programming+beginner</x:v>
      </x:c>
      <x:c r="J166" s="38" t="str">
        <x:v>課後延伸／親子討論</x:v>
      </x:c>
      <x:c r="K166" s="38" t="str">
        <x:v>6–15 分鐘</x:v>
      </x:c>
      <x:c r="L166" s="38" t="str">
        <x:v>補充應用、倫理、安全或真實案例；父子各說一個觀點</x:v>
      </x:c>
      <x:c r="M166" s="38" t="str">
        <x:v>□ 未挑選</x:v>
      </x:c>
      <x:c r="N166" s="38" t="str"/>
      <x:c r="O166" s="38" t="str"/>
    </x:row>
    <x:row r="167">
      <x:c r="A167" s="38" t="n">
        <x:v>56</x:v>
      </x:c>
      <x:c r="B167" s="38" t="str">
        <x:v>第 2 年</x:v>
      </x:c>
      <x:c r="C167" s="38" t="str">
        <x:v>M04 Python 冒險：從文字到小遊戲</x:v>
      </x:c>
      <x:c r="D167" s="38" t="n">
        <x:v>8</x:v>
      </x:c>
      <x:c r="E167" s="38" t="str">
        <x:v>dict：怪物圖鑑</x:v>
      </x:c>
      <x:c r="F167" s="38" t="n">
        <x:v>1</x:v>
      </x:c>
      <x:c r="G167" s="38" t="str">
        <x:v>概念入門／官方優先</x:v>
      </x:c>
      <x:c r="H167" s="38" t="str">
        <x:v>dict 怪物圖鑑 Python programming beginner beginner tutorial Python</x:v>
      </x:c>
      <x:c r="I167" s="38" t="str">
        <x:v>https://www.youtube.com/results?search_query=dict+%E6%80%AA%E7%89%A9%E5%9C%96%E9%91%91+Python+programming+beginner+beginner+tutorial+Python</x:v>
      </x:c>
      <x:c r="J167" s="38" t="str">
        <x:v>課前暖身</x:v>
      </x:c>
      <x:c r="K167" s="38" t="str">
        <x:v>5–12 分鐘</x:v>
      </x:c>
      <x:c r="L167" s="38" t="str">
        <x:v>先建立直覺；看完能說出 3 個關鍵詞</x:v>
      </x:c>
      <x:c r="M167" s="38" t="str">
        <x:v>□ 未挑選</x:v>
      </x:c>
      <x:c r="N167" s="38" t="str"/>
      <x:c r="O167" s="38" t="str"/>
    </x:row>
    <x:row r="168">
      <x:c r="A168" s="38" t="n">
        <x:v>56</x:v>
      </x:c>
      <x:c r="B168" s="38" t="str">
        <x:v>第 2 年</x:v>
      </x:c>
      <x:c r="C168" s="38" t="str">
        <x:v>M04 Python 冒險：從文字到小遊戲</x:v>
      </x:c>
      <x:c r="D168" s="38" t="n">
        <x:v>8</x:v>
      </x:c>
      <x:c r="E168" s="38" t="str">
        <x:v>dict：怪物圖鑑</x:v>
      </x:c>
      <x:c r="F168" s="38" t="n">
        <x:v>2</x:v>
      </x:c>
      <x:c r="G168" s="38" t="str">
        <x:v>跟做實作／專案導向</x:v>
      </x:c>
      <x:c r="H168" s="38" t="str">
        <x:v>dict 怪物圖鑑 以鍵值資料描述實體屬性 hands on project for kids Python programming beginner</x:v>
      </x:c>
      <x:c r="I168" s="38" t="str">
        <x:v>https://www.youtube.com/results?search_query=dict+%E6%80%AA%E7%89%A9%E5%9C%96%E9%91%91+%E4%BB%A5%E9%8D%B5%E5%80%BC%E8%B3%87%E6%96%99%E6%8F%8F%E8%BF%B0%E5%AF%A6%E9%AB%94%E5%B1%AC%E6%80%A7+hands+on+project+for+kids+Python+programming+beginner</x:v>
      </x:c>
      <x:c r="J168" s="38" t="str">
        <x:v>課中實作參考</x:v>
      </x:c>
      <x:c r="K168" s="38" t="str">
        <x:v>8–20 分鐘</x:v>
      </x:c>
      <x:c r="L168" s="38" t="str">
        <x:v>優先找有畫面操作、步驟清楚、可暫停跟做的版本</x:v>
      </x:c>
      <x:c r="M168" s="38" t="str">
        <x:v>□ 未挑選</x:v>
      </x:c>
      <x:c r="N168" s="38" t="str"/>
      <x:c r="O168" s="38" t="str"/>
    </x:row>
    <x:row r="169">
      <x:c r="A169" s="38" t="n">
        <x:v>56</x:v>
      </x:c>
      <x:c r="B169" s="38" t="str">
        <x:v>第 2 年</x:v>
      </x:c>
      <x:c r="C169" s="38" t="str">
        <x:v>M04 Python 冒險：從文字到小遊戲</x:v>
      </x:c>
      <x:c r="D169" s="38" t="n">
        <x:v>8</x:v>
      </x:c>
      <x:c r="E169" s="38" t="str">
        <x:v>dict：怪物圖鑑</x:v>
      </x:c>
      <x:c r="F169" s="38" t="n">
        <x:v>3</x:v>
      </x:c>
      <x:c r="G169" s="38" t="str">
        <x:v>中文延伸／倫理安全</x:v>
      </x:c>
      <x:c r="H169" s="38" t="str">
        <x:v>dict 怪物圖鑑 中文 教學 原理 安全 親子 Python programming beginner</x:v>
      </x:c>
      <x:c r="I169" s="38" t="str">
        <x:v>https://www.youtube.com/results?search_query=dict+%E6%80%AA%E7%89%A9%E5%9C%96%E9%91%91+%E4%B8%AD%E6%96%87+%E6%95%99%E5%AD%B8+%E5%8E%9F%E7%90%86+%E5%AE%89%E5%85%A8+%E8%A6%AA%E5%AD%90+Python+programming+beginner</x:v>
      </x:c>
      <x:c r="J169" s="38" t="str">
        <x:v>課後延伸／親子討論</x:v>
      </x:c>
      <x:c r="K169" s="38" t="str">
        <x:v>6–15 分鐘</x:v>
      </x:c>
      <x:c r="L169" s="38" t="str">
        <x:v>補充應用、倫理、安全或真實案例；父子各說一個觀點</x:v>
      </x:c>
      <x:c r="M169" s="38" t="str">
        <x:v>□ 未挑選</x:v>
      </x:c>
      <x:c r="N169" s="38" t="str"/>
      <x:c r="O169" s="38" t="str"/>
    </x:row>
    <x:row r="170">
      <x:c r="A170" s="38" t="n">
        <x:v>57</x:v>
      </x:c>
      <x:c r="B170" s="38" t="str">
        <x:v>第 2 年</x:v>
      </x:c>
      <x:c r="C170" s="38" t="str">
        <x:v>M04 Python 冒險：從文字到小遊戲</x:v>
      </x:c>
      <x:c r="D170" s="38" t="n">
        <x:v>9</x:v>
      </x:c>
      <x:c r="E170" s="38" t="str">
        <x:v>function：自訂技能卡</x:v>
      </x:c>
      <x:c r="F170" s="38" t="n">
        <x:v>1</x:v>
      </x:c>
      <x:c r="G170" s="38" t="str">
        <x:v>概念入門／官方優先</x:v>
      </x:c>
      <x:c r="H170" s="38" t="str">
        <x:v>function 自訂技能卡 Python programming beginner beginner tutorial Python</x:v>
      </x:c>
      <x:c r="I170" s="38" t="str">
        <x:v>https://www.youtube.com/results?search_query=function+%E8%87%AA%E8%A8%82%E6%8A%80%E8%83%BD%E5%8D%A1+Python+programming+beginner+beginner+tutorial+Python</x:v>
      </x:c>
      <x:c r="J170" s="38" t="str">
        <x:v>課前暖身</x:v>
      </x:c>
      <x:c r="K170" s="38" t="str">
        <x:v>5–12 分鐘</x:v>
      </x:c>
      <x:c r="L170" s="38" t="str">
        <x:v>先建立直覺；看完能說出 3 個關鍵詞</x:v>
      </x:c>
      <x:c r="M170" s="38" t="str">
        <x:v>□ 未挑選</x:v>
      </x:c>
      <x:c r="N170" s="38" t="str"/>
      <x:c r="O170" s="38" t="str"/>
    </x:row>
    <x:row r="171">
      <x:c r="A171" s="38" t="n">
        <x:v>57</x:v>
      </x:c>
      <x:c r="B171" s="38" t="str">
        <x:v>第 2 年</x:v>
      </x:c>
      <x:c r="C171" s="38" t="str">
        <x:v>M04 Python 冒險：從文字到小遊戲</x:v>
      </x:c>
      <x:c r="D171" s="38" t="n">
        <x:v>9</x:v>
      </x:c>
      <x:c r="E171" s="38" t="str">
        <x:v>function：自訂技能卡</x:v>
      </x:c>
      <x:c r="F171" s="38" t="n">
        <x:v>2</x:v>
      </x:c>
      <x:c r="G171" s="38" t="str">
        <x:v>跟做實作／專案導向</x:v>
      </x:c>
      <x:c r="H171" s="38" t="str">
        <x:v>function 自訂技能卡 把重複邏輯封裝成可重用函式 hands on project for kids Python programming beginner</x:v>
      </x:c>
      <x:c r="I171" s="38" t="str">
        <x:v>https://www.youtube.com/results?search_query=function+%E8%87%AA%E8%A8%82%E6%8A%80%E8%83%BD%E5%8D%A1+%E6%8A%8A%E9%87%8D%E8%A4%87%E9%82%8F%E8%BC%AF%E5%B0%81%E8%A3%9D%E6%88%90%E5%8F%AF%E9%87%8D%E7%94%A8%E5%87%BD%E5%BC%8F+hands+on+project+for+kids+Python+programming+beginner</x:v>
      </x:c>
      <x:c r="J171" s="38" t="str">
        <x:v>課中實作參考</x:v>
      </x:c>
      <x:c r="K171" s="38" t="str">
        <x:v>8–20 分鐘</x:v>
      </x:c>
      <x:c r="L171" s="38" t="str">
        <x:v>優先找有畫面操作、步驟清楚、可暫停跟做的版本</x:v>
      </x:c>
      <x:c r="M171" s="38" t="str">
        <x:v>□ 未挑選</x:v>
      </x:c>
      <x:c r="N171" s="38" t="str"/>
      <x:c r="O171" s="38" t="str"/>
    </x:row>
    <x:row r="172">
      <x:c r="A172" s="38" t="n">
        <x:v>57</x:v>
      </x:c>
      <x:c r="B172" s="38" t="str">
        <x:v>第 2 年</x:v>
      </x:c>
      <x:c r="C172" s="38" t="str">
        <x:v>M04 Python 冒險：從文字到小遊戲</x:v>
      </x:c>
      <x:c r="D172" s="38" t="n">
        <x:v>9</x:v>
      </x:c>
      <x:c r="E172" s="38" t="str">
        <x:v>function：自訂技能卡</x:v>
      </x:c>
      <x:c r="F172" s="38" t="n">
        <x:v>3</x:v>
      </x:c>
      <x:c r="G172" s="38" t="str">
        <x:v>中文延伸／倫理安全</x:v>
      </x:c>
      <x:c r="H172" s="38" t="str">
        <x:v>function 自訂技能卡 中文 教學 原理 安全 親子 Python programming beginner</x:v>
      </x:c>
      <x:c r="I172" s="38" t="str">
        <x:v>https://www.youtube.com/results?search_query=function+%E8%87%AA%E8%A8%82%E6%8A%80%E8%83%BD%E5%8D%A1+%E4%B8%AD%E6%96%87+%E6%95%99%E5%AD%B8+%E5%8E%9F%E7%90%86+%E5%AE%89%E5%85%A8+%E8%A6%AA%E5%AD%90+Python+programming+beginner</x:v>
      </x:c>
      <x:c r="J172" s="38" t="str">
        <x:v>課後延伸／親子討論</x:v>
      </x:c>
      <x:c r="K172" s="38" t="str">
        <x:v>6–15 分鐘</x:v>
      </x:c>
      <x:c r="L172" s="38" t="str">
        <x:v>補充應用、倫理、安全或真實案例；父子各說一個觀點</x:v>
      </x:c>
      <x:c r="M172" s="38" t="str">
        <x:v>□ 未挑選</x:v>
      </x:c>
      <x:c r="N172" s="38" t="str"/>
      <x:c r="O172" s="38" t="str"/>
    </x:row>
    <x:row r="173">
      <x:c r="A173" s="38" t="n">
        <x:v>58</x:v>
      </x:c>
      <x:c r="B173" s="38" t="str">
        <x:v>第 2 年</x:v>
      </x:c>
      <x:c r="C173" s="38" t="str">
        <x:v>M04 Python 冒險：從文字到小遊戲</x:v>
      </x:c>
      <x:c r="D173" s="38" t="n">
        <x:v>10</x:v>
      </x:c>
      <x:c r="E173" s="38" t="str">
        <x:v>random：命運骰子</x:v>
      </x:c>
      <x:c r="F173" s="38" t="n">
        <x:v>1</x:v>
      </x:c>
      <x:c r="G173" s="38" t="str">
        <x:v>概念入門／官方優先</x:v>
      </x:c>
      <x:c r="H173" s="38" t="str">
        <x:v>random 命運骰子 Python programming beginner beginner tutorial Python</x:v>
      </x:c>
      <x:c r="I173" s="38" t="str">
        <x:v>https://www.youtube.com/results?search_query=random+%E5%91%BD%E9%81%8B%E9%AA%B0%E5%AD%90+Python+programming+beginner+beginner+tutorial+Python</x:v>
      </x:c>
      <x:c r="J173" s="38" t="str">
        <x:v>課前暖身</x:v>
      </x:c>
      <x:c r="K173" s="38" t="str">
        <x:v>5–12 分鐘</x:v>
      </x:c>
      <x:c r="L173" s="38" t="str">
        <x:v>先建立直覺；看完能說出 3 個關鍵詞</x:v>
      </x:c>
      <x:c r="M173" s="38" t="str">
        <x:v>□ 未挑選</x:v>
      </x:c>
      <x:c r="N173" s="38" t="str"/>
      <x:c r="O173" s="38" t="str"/>
    </x:row>
    <x:row r="174">
      <x:c r="A174" s="38" t="n">
        <x:v>58</x:v>
      </x:c>
      <x:c r="B174" s="38" t="str">
        <x:v>第 2 年</x:v>
      </x:c>
      <x:c r="C174" s="38" t="str">
        <x:v>M04 Python 冒險：從文字到小遊戲</x:v>
      </x:c>
      <x:c r="D174" s="38" t="n">
        <x:v>10</x:v>
      </x:c>
      <x:c r="E174" s="38" t="str">
        <x:v>random：命運骰子</x:v>
      </x:c>
      <x:c r="F174" s="38" t="n">
        <x:v>2</x:v>
      </x:c>
      <x:c r="G174" s="38" t="str">
        <x:v>跟做實作／專案導向</x:v>
      </x:c>
      <x:c r="H174" s="38" t="str">
        <x:v>random 命運骰子 使用亂數創造事件並討論公平性 hands on project for kids Python programming beginner</x:v>
      </x:c>
      <x:c r="I174" s="38" t="str">
        <x:v>https://www.youtube.com/results?search_query=random+%E5%91%BD%E9%81%8B%E9%AA%B0%E5%AD%90+%E4%BD%BF%E7%94%A8%E4%BA%82%E6%95%B8%E5%89%B5%E9%80%A0%E4%BA%8B%E4%BB%B6%E4%B8%A6%E8%A8%8E%E8%AB%96%E5%85%AC%E5%B9%B3%E6%80%A7+hands+on+project+for+kids+Python+programming+beginner</x:v>
      </x:c>
      <x:c r="J174" s="38" t="str">
        <x:v>課中實作參考</x:v>
      </x:c>
      <x:c r="K174" s="38" t="str">
        <x:v>8–20 分鐘</x:v>
      </x:c>
      <x:c r="L174" s="38" t="str">
        <x:v>優先找有畫面操作、步驟清楚、可暫停跟做的版本</x:v>
      </x:c>
      <x:c r="M174" s="38" t="str">
        <x:v>□ 未挑選</x:v>
      </x:c>
      <x:c r="N174" s="38" t="str"/>
      <x:c r="O174" s="38" t="str"/>
    </x:row>
    <x:row r="175">
      <x:c r="A175" s="38" t="n">
        <x:v>58</x:v>
      </x:c>
      <x:c r="B175" s="38" t="str">
        <x:v>第 2 年</x:v>
      </x:c>
      <x:c r="C175" s="38" t="str">
        <x:v>M04 Python 冒險：從文字到小遊戲</x:v>
      </x:c>
      <x:c r="D175" s="38" t="n">
        <x:v>10</x:v>
      </x:c>
      <x:c r="E175" s="38" t="str">
        <x:v>random：命運骰子</x:v>
      </x:c>
      <x:c r="F175" s="38" t="n">
        <x:v>3</x:v>
      </x:c>
      <x:c r="G175" s="38" t="str">
        <x:v>中文延伸／倫理安全</x:v>
      </x:c>
      <x:c r="H175" s="38" t="str">
        <x:v>random 命運骰子 中文 教學 原理 安全 親子 Python programming beginner</x:v>
      </x:c>
      <x:c r="I175" s="38" t="str">
        <x:v>https://www.youtube.com/results?search_query=random+%E5%91%BD%E9%81%8B%E9%AA%B0%E5%AD%90+%E4%B8%AD%E6%96%87+%E6%95%99%E5%AD%B8+%E5%8E%9F%E7%90%86+%E5%AE%89%E5%85%A8+%E8%A6%AA%E5%AD%90+Python+programming+beginner</x:v>
      </x:c>
      <x:c r="J175" s="38" t="str">
        <x:v>課後延伸／親子討論</x:v>
      </x:c>
      <x:c r="K175" s="38" t="str">
        <x:v>6–15 分鐘</x:v>
      </x:c>
      <x:c r="L175" s="38" t="str">
        <x:v>補充應用、倫理、安全或真實案例；父子各說一個觀點</x:v>
      </x:c>
      <x:c r="M175" s="38" t="str">
        <x:v>□ 未挑選</x:v>
      </x:c>
      <x:c r="N175" s="38" t="str"/>
      <x:c r="O175" s="38" t="str"/>
    </x:row>
    <x:row r="176">
      <x:c r="A176" s="38" t="n">
        <x:v>59</x:v>
      </x:c>
      <x:c r="B176" s="38" t="str">
        <x:v>第 2 年</x:v>
      </x:c>
      <x:c r="C176" s="38" t="str">
        <x:v>M04 Python 冒險：從文字到小遊戲</x:v>
      </x:c>
      <x:c r="D176" s="38" t="n">
        <x:v>11</x:v>
      </x:c>
      <x:c r="E176" s="38" t="str">
        <x:v>例外處理：程式也要有安全網</x:v>
      </x:c>
      <x:c r="F176" s="38" t="n">
        <x:v>1</x:v>
      </x:c>
      <x:c r="G176" s="38" t="str">
        <x:v>概念入門／官方優先</x:v>
      </x:c>
      <x:c r="H176" s="38" t="str">
        <x:v>例外處理 程式也要有安全網 Python programming beginner beginner tutorial Python</x:v>
      </x:c>
      <x:c r="I176" s="38" t="str">
        <x:v>https://www.youtube.com/results?search_query=%E4%BE%8B%E5%A4%96%E8%99%95%E7%90%86+%E7%A8%8B%E5%BC%8F%E4%B9%9F%E8%A6%81%E6%9C%89%E5%AE%89%E5%85%A8%E7%B6%B2+Python+programming+beginner+beginner+tutorial+Python</x:v>
      </x:c>
      <x:c r="J176" s="38" t="str">
        <x:v>課前暖身</x:v>
      </x:c>
      <x:c r="K176" s="38" t="str">
        <x:v>5–12 分鐘</x:v>
      </x:c>
      <x:c r="L176" s="38" t="str">
        <x:v>先建立直覺；看完能說出 3 個關鍵詞</x:v>
      </x:c>
      <x:c r="M176" s="38" t="str">
        <x:v>□ 未挑選</x:v>
      </x:c>
      <x:c r="N176" s="38" t="str"/>
      <x:c r="O176" s="38" t="str"/>
    </x:row>
    <x:row r="177">
      <x:c r="A177" s="38" t="n">
        <x:v>59</x:v>
      </x:c>
      <x:c r="B177" s="38" t="str">
        <x:v>第 2 年</x:v>
      </x:c>
      <x:c r="C177" s="38" t="str">
        <x:v>M04 Python 冒險：從文字到小遊戲</x:v>
      </x:c>
      <x:c r="D177" s="38" t="n">
        <x:v>11</x:v>
      </x:c>
      <x:c r="E177" s="38" t="str">
        <x:v>例外處理：程式也要有安全網</x:v>
      </x:c>
      <x:c r="F177" s="38" t="n">
        <x:v>2</x:v>
      </x:c>
      <x:c r="G177" s="38" t="str">
        <x:v>跟做實作／專案導向</x:v>
      </x:c>
      <x:c r="H177" s="38" t="str">
        <x:v>例外處理 程式也要有安全網 理解常見錯誤、try/except 與友善提示 hands on project for kids Python programming beginner</x:v>
      </x:c>
      <x:c r="I177" s="38" t="str">
        <x:v>https://www.youtube.com/results?search_query=%E4%BE%8B%E5%A4%96%E8%99%95%E7%90%86+%E7%A8%8B%E5%BC%8F%E4%B9%9F%E8%A6%81%E6%9C%89%E5%AE%89%E5%85%A8%E7%B6%B2+%E7%90%86%E8%A7%A3%E5%B8%B8%E8%A6%8B%E9%8C%AF%E8%AA%A4%E3%80%81try%2Fexcept+%E8%88%87%E5%8F%8B%E5%96%84%E6%8F%90%E7%A4%BA+hands+on+project+for+kids+Python+programming+beginner</x:v>
      </x:c>
      <x:c r="J177" s="38" t="str">
        <x:v>課中實作參考</x:v>
      </x:c>
      <x:c r="K177" s="38" t="str">
        <x:v>8–20 分鐘</x:v>
      </x:c>
      <x:c r="L177" s="38" t="str">
        <x:v>優先找有畫面操作、步驟清楚、可暫停跟做的版本</x:v>
      </x:c>
      <x:c r="M177" s="38" t="str">
        <x:v>□ 未挑選</x:v>
      </x:c>
      <x:c r="N177" s="38" t="str"/>
      <x:c r="O177" s="38" t="str"/>
    </x:row>
    <x:row r="178">
      <x:c r="A178" s="38" t="n">
        <x:v>59</x:v>
      </x:c>
      <x:c r="B178" s="38" t="str">
        <x:v>第 2 年</x:v>
      </x:c>
      <x:c r="C178" s="38" t="str">
        <x:v>M04 Python 冒險：從文字到小遊戲</x:v>
      </x:c>
      <x:c r="D178" s="38" t="n">
        <x:v>11</x:v>
      </x:c>
      <x:c r="E178" s="38" t="str">
        <x:v>例外處理：程式也要有安全網</x:v>
      </x:c>
      <x:c r="F178" s="38" t="n">
        <x:v>3</x:v>
      </x:c>
      <x:c r="G178" s="38" t="str">
        <x:v>中文延伸／倫理安全</x:v>
      </x:c>
      <x:c r="H178" s="38" t="str">
        <x:v>例外處理 程式也要有安全網 中文 教學 原理 安全 親子 Python programming beginner</x:v>
      </x:c>
      <x:c r="I178" s="38" t="str">
        <x:v>https://www.youtube.com/results?search_query=%E4%BE%8B%E5%A4%96%E8%99%95%E7%90%86+%E7%A8%8B%E5%BC%8F%E4%B9%9F%E8%A6%81%E6%9C%89%E5%AE%89%E5%85%A8%E7%B6%B2+%E4%B8%AD%E6%96%87+%E6%95%99%E5%AD%B8+%E5%8E%9F%E7%90%86+%E5%AE%89%E5%85%A8+%E8%A6%AA%E5%AD%90+Python+programming+beginner</x:v>
      </x:c>
      <x:c r="J178" s="38" t="str">
        <x:v>課後延伸／親子討論</x:v>
      </x:c>
      <x:c r="K178" s="38" t="str">
        <x:v>6–15 分鐘</x:v>
      </x:c>
      <x:c r="L178" s="38" t="str">
        <x:v>補充應用、倫理、安全或真實案例；父子各說一個觀點</x:v>
      </x:c>
      <x:c r="M178" s="38" t="str">
        <x:v>□ 未挑選</x:v>
      </x:c>
      <x:c r="N178" s="38" t="str"/>
      <x:c r="O178" s="38" t="str"/>
    </x:row>
    <x:row r="179">
      <x:c r="A179" s="38" t="n">
        <x:v>60</x:v>
      </x:c>
      <x:c r="B179" s="38" t="str">
        <x:v>第 2 年</x:v>
      </x:c>
      <x:c r="C179" s="38" t="str">
        <x:v>M04 Python 冒險：從文字到小遊戲</x:v>
      </x:c>
      <x:c r="D179" s="38" t="n">
        <x:v>12</x:v>
      </x:c>
      <x:c r="E179" s="38" t="str">
        <x:v>檔案：讓遊戲記得你</x:v>
      </x:c>
      <x:c r="F179" s="38" t="n">
        <x:v>1</x:v>
      </x:c>
      <x:c r="G179" s="38" t="str">
        <x:v>概念入門／官方優先</x:v>
      </x:c>
      <x:c r="H179" s="38" t="str">
        <x:v>檔案 讓遊戲記得你 Python programming beginner beginner tutorial Python</x:v>
      </x:c>
      <x:c r="I179" s="38" t="str">
        <x:v>https://www.youtube.com/results?search_query=%E6%AA%94%E6%A1%88+%E8%AE%93%E9%81%8A%E6%88%B2%E8%A8%98%E5%BE%97%E4%BD%A0+Python+programming+beginner+beginner+tutorial+Python</x:v>
      </x:c>
      <x:c r="J179" s="38" t="str">
        <x:v>課前暖身</x:v>
      </x:c>
      <x:c r="K179" s="38" t="str">
        <x:v>5–12 分鐘</x:v>
      </x:c>
      <x:c r="L179" s="38" t="str">
        <x:v>先建立直覺；看完能說出 3 個關鍵詞</x:v>
      </x:c>
      <x:c r="M179" s="38" t="str">
        <x:v>□ 未挑選</x:v>
      </x:c>
      <x:c r="N179" s="38" t="str"/>
      <x:c r="O179" s="38" t="str"/>
    </x:row>
    <x:row r="180">
      <x:c r="A180" s="38" t="n">
        <x:v>60</x:v>
      </x:c>
      <x:c r="B180" s="38" t="str">
        <x:v>第 2 年</x:v>
      </x:c>
      <x:c r="C180" s="38" t="str">
        <x:v>M04 Python 冒險：從文字到小遊戲</x:v>
      </x:c>
      <x:c r="D180" s="38" t="n">
        <x:v>12</x:v>
      </x:c>
      <x:c r="E180" s="38" t="str">
        <x:v>檔案：讓遊戲記得你</x:v>
      </x:c>
      <x:c r="F180" s="38" t="n">
        <x:v>2</x:v>
      </x:c>
      <x:c r="G180" s="38" t="str">
        <x:v>跟做實作／專案導向</x:v>
      </x:c>
      <x:c r="H180" s="38" t="str">
        <x:v>檔案 讓遊戲記得你 讀寫文字或 JSON，理解儲存與載入 hands on project for kids Python programming beginner</x:v>
      </x:c>
      <x:c r="I180" s="38" t="str">
        <x:v>https://www.youtube.com/results?search_query=%E6%AA%94%E6%A1%88+%E8%AE%93%E9%81%8A%E6%88%B2%E8%A8%98%E5%BE%97%E4%BD%A0+%E8%AE%80%E5%AF%AB%E6%96%87%E5%AD%97%E6%88%96+JSON%EF%BC%8C%E7%90%86%E8%A7%A3%E5%84%B2%E5%AD%98%E8%88%87%E8%BC%89%E5%85%A5+hands+on+project+for+kids+Python+programming+beginner</x:v>
      </x:c>
      <x:c r="J180" s="38" t="str">
        <x:v>課中實作參考</x:v>
      </x:c>
      <x:c r="K180" s="38" t="str">
        <x:v>8–20 分鐘</x:v>
      </x:c>
      <x:c r="L180" s="38" t="str">
        <x:v>優先找有畫面操作、步驟清楚、可暫停跟做的版本</x:v>
      </x:c>
      <x:c r="M180" s="38" t="str">
        <x:v>□ 未挑選</x:v>
      </x:c>
      <x:c r="N180" s="38" t="str"/>
      <x:c r="O180" s="38" t="str"/>
    </x:row>
    <x:row r="181">
      <x:c r="A181" s="38" t="n">
        <x:v>60</x:v>
      </x:c>
      <x:c r="B181" s="38" t="str">
        <x:v>第 2 年</x:v>
      </x:c>
      <x:c r="C181" s="38" t="str">
        <x:v>M04 Python 冒險：從文字到小遊戲</x:v>
      </x:c>
      <x:c r="D181" s="38" t="n">
        <x:v>12</x:v>
      </x:c>
      <x:c r="E181" s="38" t="str">
        <x:v>檔案：讓遊戲記得你</x:v>
      </x:c>
      <x:c r="F181" s="38" t="n">
        <x:v>3</x:v>
      </x:c>
      <x:c r="G181" s="38" t="str">
        <x:v>中文延伸／倫理安全</x:v>
      </x:c>
      <x:c r="H181" s="38" t="str">
        <x:v>檔案 讓遊戲記得你 中文 教學 原理 安全 親子 Python programming beginner</x:v>
      </x:c>
      <x:c r="I181" s="38" t="str">
        <x:v>https://www.youtube.com/results?search_query=%E6%AA%94%E6%A1%88+%E8%AE%93%E9%81%8A%E6%88%B2%E8%A8%98%E5%BE%97%E4%BD%A0+%E4%B8%AD%E6%96%87+%E6%95%99%E5%AD%B8+%E5%8E%9F%E7%90%86+%E5%AE%89%E5%85%A8+%E8%A6%AA%E5%AD%90+Python+programming+beginner</x:v>
      </x:c>
      <x:c r="J181" s="38" t="str">
        <x:v>課後延伸／親子討論</x:v>
      </x:c>
      <x:c r="K181" s="38" t="str">
        <x:v>6–15 分鐘</x:v>
      </x:c>
      <x:c r="L181" s="38" t="str">
        <x:v>補充應用、倫理、安全或真實案例；父子各說一個觀點</x:v>
      </x:c>
      <x:c r="M181" s="38" t="str">
        <x:v>□ 未挑選</x:v>
      </x:c>
      <x:c r="N181" s="38" t="str"/>
      <x:c r="O181" s="38" t="str"/>
    </x:row>
    <x:row r="182">
      <x:c r="A182" s="38" t="n">
        <x:v>61</x:v>
      </x:c>
      <x:c r="B182" s="38" t="str">
        <x:v>第 2 年</x:v>
      </x:c>
      <x:c r="C182" s="38" t="str">
        <x:v>M04 Python 冒險：從文字到小遊戲</x:v>
      </x:c>
      <x:c r="D182" s="38" t="n">
        <x:v>13</x:v>
      </x:c>
      <x:c r="E182" s="38" t="str">
        <x:v>文字 RPG 設計：地圖、事件與狀態</x:v>
      </x:c>
      <x:c r="F182" s="38" t="n">
        <x:v>1</x:v>
      </x:c>
      <x:c r="G182" s="38" t="str">
        <x:v>概念入門／官方優先</x:v>
      </x:c>
      <x:c r="H182" s="38" t="str">
        <x:v>文字 RPG 設計 地圖、事件與狀態 Python programming beginner beginner tutorial Python</x:v>
      </x:c>
      <x:c r="I182" s="38" t="str">
        <x:v>https://www.youtube.com/results?search_query=%E6%96%87%E5%AD%97+RPG+%E8%A8%AD%E8%A8%88+%E5%9C%B0%E5%9C%96%E3%80%81%E4%BA%8B%E4%BB%B6%E8%88%87%E7%8B%80%E6%85%8B+Python+programming+beginner+beginner+tutorial+Python</x:v>
      </x:c>
      <x:c r="J182" s="38" t="str">
        <x:v>課前暖身</x:v>
      </x:c>
      <x:c r="K182" s="38" t="str">
        <x:v>5–12 分鐘</x:v>
      </x:c>
      <x:c r="L182" s="38" t="str">
        <x:v>先建立直覺；看完能說出 3 個關鍵詞</x:v>
      </x:c>
      <x:c r="M182" s="38" t="str">
        <x:v>□ 未挑選</x:v>
      </x:c>
      <x:c r="N182" s="38" t="str"/>
      <x:c r="O182" s="38" t="str"/>
    </x:row>
    <x:row r="183">
      <x:c r="A183" s="38" t="n">
        <x:v>61</x:v>
      </x:c>
      <x:c r="B183" s="38" t="str">
        <x:v>第 2 年</x:v>
      </x:c>
      <x:c r="C183" s="38" t="str">
        <x:v>M04 Python 冒險：從文字到小遊戲</x:v>
      </x:c>
      <x:c r="D183" s="38" t="n">
        <x:v>13</x:v>
      </x:c>
      <x:c r="E183" s="38" t="str">
        <x:v>文字 RPG 設計：地圖、事件與狀態</x:v>
      </x:c>
      <x:c r="F183" s="38" t="n">
        <x:v>2</x:v>
      </x:c>
      <x:c r="G183" s="38" t="str">
        <x:v>跟做實作／專案導向</x:v>
      </x:c>
      <x:c r="H183" s="38" t="str">
        <x:v>文字 RPG 設計 地圖、事件與狀態 把故事拆成資料、函式與流程圖 hands on project for kids Python programming beginner</x:v>
      </x:c>
      <x:c r="I183" s="38" t="str">
        <x:v>https://www.youtube.com/results?search_query=%E6%96%87%E5%AD%97+RPG+%E8%A8%AD%E8%A8%88+%E5%9C%B0%E5%9C%96%E3%80%81%E4%BA%8B%E4%BB%B6%E8%88%87%E7%8B%80%E6%85%8B+%E6%8A%8A%E6%95%85%E4%BA%8B%E6%8B%86%E6%88%90%E8%B3%87%E6%96%99%E3%80%81%E5%87%BD%E5%BC%8F%E8%88%87%E6%B5%81%E7%A8%8B%E5%9C%96+hands+on+project+for+kids+Python+programming+beginner</x:v>
      </x:c>
      <x:c r="J183" s="38" t="str">
        <x:v>課中實作參考</x:v>
      </x:c>
      <x:c r="K183" s="38" t="str">
        <x:v>8–20 分鐘</x:v>
      </x:c>
      <x:c r="L183" s="38" t="str">
        <x:v>優先找有畫面操作、步驟清楚、可暫停跟做的版本</x:v>
      </x:c>
      <x:c r="M183" s="38" t="str">
        <x:v>□ 未挑選</x:v>
      </x:c>
      <x:c r="N183" s="38" t="str"/>
      <x:c r="O183" s="38" t="str"/>
    </x:row>
    <x:row r="184">
      <x:c r="A184" s="38" t="n">
        <x:v>61</x:v>
      </x:c>
      <x:c r="B184" s="38" t="str">
        <x:v>第 2 年</x:v>
      </x:c>
      <x:c r="C184" s="38" t="str">
        <x:v>M04 Python 冒險：從文字到小遊戲</x:v>
      </x:c>
      <x:c r="D184" s="38" t="n">
        <x:v>13</x:v>
      </x:c>
      <x:c r="E184" s="38" t="str">
        <x:v>文字 RPG 設計：地圖、事件與狀態</x:v>
      </x:c>
      <x:c r="F184" s="38" t="n">
        <x:v>3</x:v>
      </x:c>
      <x:c r="G184" s="38" t="str">
        <x:v>中文延伸／倫理安全</x:v>
      </x:c>
      <x:c r="H184" s="38" t="str">
        <x:v>文字 RPG 設計 地圖、事件與狀態 中文 教學 原理 安全 親子 Python programming beginner</x:v>
      </x:c>
      <x:c r="I184" s="38" t="str">
        <x:v>https://www.youtube.com/results?search_query=%E6%96%87%E5%AD%97+RPG+%E8%A8%AD%E8%A8%88+%E5%9C%B0%E5%9C%96%E3%80%81%E4%BA%8B%E4%BB%B6%E8%88%87%E7%8B%80%E6%85%8B+%E4%B8%AD%E6%96%87+%E6%95%99%E5%AD%B8+%E5%8E%9F%E7%90%86+%E5%AE%89%E5%85%A8+%E8%A6%AA%E5%AD%90+Python+programming+beginner</x:v>
      </x:c>
      <x:c r="J184" s="38" t="str">
        <x:v>課後延伸／親子討論</x:v>
      </x:c>
      <x:c r="K184" s="38" t="str">
        <x:v>6–15 分鐘</x:v>
      </x:c>
      <x:c r="L184" s="38" t="str">
        <x:v>補充應用、倫理、安全或真實案例；父子各說一個觀點</x:v>
      </x:c>
      <x:c r="M184" s="38" t="str">
        <x:v>□ 未挑選</x:v>
      </x:c>
      <x:c r="N184" s="38" t="str"/>
      <x:c r="O184" s="38" t="str"/>
    </x:row>
    <x:row r="185">
      <x:c r="A185" s="38" t="n">
        <x:v>62</x:v>
      </x:c>
      <x:c r="B185" s="38" t="str">
        <x:v>第 2 年</x:v>
      </x:c>
      <x:c r="C185" s="38" t="str">
        <x:v>M04 Python 冒險：從文字到小遊戲</x:v>
      </x:c>
      <x:c r="D185" s="38" t="n">
        <x:v>14</x:v>
      </x:c>
      <x:c r="E185" s="38" t="str">
        <x:v>文字 RPG Alpha</x:v>
      </x:c>
      <x:c r="F185" s="38" t="n">
        <x:v>1</x:v>
      </x:c>
      <x:c r="G185" s="38" t="str">
        <x:v>概念入門／官方優先</x:v>
      </x:c>
      <x:c r="H185" s="38" t="str">
        <x:v>文字 RPG Alpha Python programming beginner beginner tutorial Python</x:v>
      </x:c>
      <x:c r="I185" s="38" t="str">
        <x:v>https://www.youtube.com/results?search_query=%E6%96%87%E5%AD%97+RPG+Alpha+Python+programming+beginner+beginner+tutorial+Python</x:v>
      </x:c>
      <x:c r="J185" s="38" t="str">
        <x:v>課前暖身</x:v>
      </x:c>
      <x:c r="K185" s="38" t="str">
        <x:v>5–12 分鐘</x:v>
      </x:c>
      <x:c r="L185" s="38" t="str">
        <x:v>先建立直覺；看完能說出 3 個關鍵詞</x:v>
      </x:c>
      <x:c r="M185" s="38" t="str">
        <x:v>□ 未挑選</x:v>
      </x:c>
      <x:c r="N185" s="38" t="str"/>
      <x:c r="O185" s="38" t="str"/>
    </x:row>
    <x:row r="186">
      <x:c r="A186" s="38" t="n">
        <x:v>62</x:v>
      </x:c>
      <x:c r="B186" s="38" t="str">
        <x:v>第 2 年</x:v>
      </x:c>
      <x:c r="C186" s="38" t="str">
        <x:v>M04 Python 冒險：從文字到小遊戲</x:v>
      </x:c>
      <x:c r="D186" s="38" t="n">
        <x:v>14</x:v>
      </x:c>
      <x:c r="E186" s="38" t="str">
        <x:v>文字 RPG Alpha</x:v>
      </x:c>
      <x:c r="F186" s="38" t="n">
        <x:v>2</x:v>
      </x:c>
      <x:c r="G186" s="38" t="str">
        <x:v>跟做實作／專案導向</x:v>
      </x:c>
      <x:c r="H186" s="38" t="str">
        <x:v>文字 RPG Alpha 完成可從開始玩到任一結局的最小版本 hands on project for kids Python programming beginner</x:v>
      </x:c>
      <x:c r="I186" s="38" t="str">
        <x:v>https://www.youtube.com/results?search_query=%E6%96%87%E5%AD%97+RPG+Alpha+%E5%AE%8C%E6%88%90%E5%8F%AF%E5%BE%9E%E9%96%8B%E5%A7%8B%E7%8E%A9%E5%88%B0%E4%BB%BB%E4%B8%80%E7%B5%90%E5%B1%80%E7%9A%84%E6%9C%80%E5%B0%8F%E7%89%88%E6%9C%AC+hands+on+project+for+kids+Python+programming+beginner</x:v>
      </x:c>
      <x:c r="J186" s="38" t="str">
        <x:v>課中實作參考</x:v>
      </x:c>
      <x:c r="K186" s="38" t="str">
        <x:v>8–20 分鐘</x:v>
      </x:c>
      <x:c r="L186" s="38" t="str">
        <x:v>優先找有畫面操作、步驟清楚、可暫停跟做的版本</x:v>
      </x:c>
      <x:c r="M186" s="38" t="str">
        <x:v>□ 未挑選</x:v>
      </x:c>
      <x:c r="N186" s="38" t="str"/>
      <x:c r="O186" s="38" t="str"/>
    </x:row>
    <x:row r="187">
      <x:c r="A187" s="38" t="n">
        <x:v>62</x:v>
      </x:c>
      <x:c r="B187" s="38" t="str">
        <x:v>第 2 年</x:v>
      </x:c>
      <x:c r="C187" s="38" t="str">
        <x:v>M04 Python 冒險：從文字到小遊戲</x:v>
      </x:c>
      <x:c r="D187" s="38" t="n">
        <x:v>14</x:v>
      </x:c>
      <x:c r="E187" s="38" t="str">
        <x:v>文字 RPG Alpha</x:v>
      </x:c>
      <x:c r="F187" s="38" t="n">
        <x:v>3</x:v>
      </x:c>
      <x:c r="G187" s="38" t="str">
        <x:v>中文延伸／倫理安全</x:v>
      </x:c>
      <x:c r="H187" s="38" t="str">
        <x:v>文字 RPG Alpha 中文 教學 原理 安全 親子 Python programming beginner</x:v>
      </x:c>
      <x:c r="I187" s="38" t="str">
        <x:v>https://www.youtube.com/results?search_query=%E6%96%87%E5%AD%97+RPG+Alpha+%E4%B8%AD%E6%96%87+%E6%95%99%E5%AD%B8+%E5%8E%9F%E7%90%86+%E5%AE%89%E5%85%A8+%E8%A6%AA%E5%AD%90+Python+programming+beginner</x:v>
      </x:c>
      <x:c r="J187" s="38" t="str">
        <x:v>課後延伸／親子討論</x:v>
      </x:c>
      <x:c r="K187" s="38" t="str">
        <x:v>6–15 分鐘</x:v>
      </x:c>
      <x:c r="L187" s="38" t="str">
        <x:v>補充應用、倫理、安全或真實案例；父子各說一個觀點</x:v>
      </x:c>
      <x:c r="M187" s="38" t="str">
        <x:v>□ 未挑選</x:v>
      </x:c>
      <x:c r="N187" s="38" t="str"/>
      <x:c r="O187" s="38" t="str"/>
    </x:row>
    <x:row r="188">
      <x:c r="A188" s="38" t="n">
        <x:v>63</x:v>
      </x:c>
      <x:c r="B188" s="38" t="str">
        <x:v>第 2 年</x:v>
      </x:c>
      <x:c r="C188" s="38" t="str">
        <x:v>M04 Python 冒險：從文字到小遊戲</x:v>
      </x:c>
      <x:c r="D188" s="38" t="n">
        <x:v>15</x:v>
      </x:c>
      <x:c r="E188" s="38" t="str">
        <x:v>測試與除錯：找出最短破關路線</x:v>
      </x:c>
      <x:c r="F188" s="38" t="n">
        <x:v>1</x:v>
      </x:c>
      <x:c r="G188" s="38" t="str">
        <x:v>概念入門／官方優先</x:v>
      </x:c>
      <x:c r="H188" s="38" t="str">
        <x:v>測試與除錯 找出最短破關路線 Python programming beginner beginner tutorial Python</x:v>
      </x:c>
      <x:c r="I188" s="38" t="str">
        <x:v>https://www.youtube.com/results?search_query=%E6%B8%AC%E8%A9%A6%E8%88%87%E9%99%A4%E9%8C%AF+%E6%89%BE%E5%87%BA%E6%9C%80%E7%9F%AD%E7%A0%B4%E9%97%9C%E8%B7%AF%E7%B7%9A+Python+programming+beginner+beginner+tutorial+Python</x:v>
      </x:c>
      <x:c r="J188" s="38" t="str">
        <x:v>課前暖身</x:v>
      </x:c>
      <x:c r="K188" s="38" t="str">
        <x:v>5–12 分鐘</x:v>
      </x:c>
      <x:c r="L188" s="38" t="str">
        <x:v>先建立直覺；看完能說出 3 個關鍵詞</x:v>
      </x:c>
      <x:c r="M188" s="38" t="str">
        <x:v>□ 未挑選</x:v>
      </x:c>
      <x:c r="N188" s="38" t="str"/>
      <x:c r="O188" s="38" t="str"/>
    </x:row>
    <x:row r="189">
      <x:c r="A189" s="38" t="n">
        <x:v>63</x:v>
      </x:c>
      <x:c r="B189" s="38" t="str">
        <x:v>第 2 年</x:v>
      </x:c>
      <x:c r="C189" s="38" t="str">
        <x:v>M04 Python 冒險：從文字到小遊戲</x:v>
      </x:c>
      <x:c r="D189" s="38" t="n">
        <x:v>15</x:v>
      </x:c>
      <x:c r="E189" s="38" t="str">
        <x:v>測試與除錯：找出最短破關路線</x:v>
      </x:c>
      <x:c r="F189" s="38" t="n">
        <x:v>2</x:v>
      </x:c>
      <x:c r="G189" s="38" t="str">
        <x:v>跟做實作／專案導向</x:v>
      </x:c>
      <x:c r="H189" s="38" t="str">
        <x:v>測試與除錯 找出最短破關路線 建立測試案例、邊界條件與 Bug 清單 hands on project for kids Python programming beginner</x:v>
      </x:c>
      <x:c r="I189" s="38" t="str">
        <x:v>https://www.youtube.com/results?search_query=%E6%B8%AC%E8%A9%A6%E8%88%87%E9%99%A4%E9%8C%AF+%E6%89%BE%E5%87%BA%E6%9C%80%E7%9F%AD%E7%A0%B4%E9%97%9C%E8%B7%AF%E7%B7%9A+%E5%BB%BA%E7%AB%8B%E6%B8%AC%E8%A9%A6%E6%A1%88%E4%BE%8B%E3%80%81%E9%82%8A%E7%95%8C%E6%A2%9D%E4%BB%B6%E8%88%87+Bug+%E6%B8%85%E5%96%AE+hands+on+project+for+kids+Python+programming+beginner</x:v>
      </x:c>
      <x:c r="J189" s="38" t="str">
        <x:v>課中實作參考</x:v>
      </x:c>
      <x:c r="K189" s="38" t="str">
        <x:v>8–20 分鐘</x:v>
      </x:c>
      <x:c r="L189" s="38" t="str">
        <x:v>優先找有畫面操作、步驟清楚、可暫停跟做的版本</x:v>
      </x:c>
      <x:c r="M189" s="38" t="str">
        <x:v>□ 未挑選</x:v>
      </x:c>
      <x:c r="N189" s="38" t="str"/>
      <x:c r="O189" s="38" t="str"/>
    </x:row>
    <x:row r="190">
      <x:c r="A190" s="38" t="n">
        <x:v>63</x:v>
      </x:c>
      <x:c r="B190" s="38" t="str">
        <x:v>第 2 年</x:v>
      </x:c>
      <x:c r="C190" s="38" t="str">
        <x:v>M04 Python 冒險：從文字到小遊戲</x:v>
      </x:c>
      <x:c r="D190" s="38" t="n">
        <x:v>15</x:v>
      </x:c>
      <x:c r="E190" s="38" t="str">
        <x:v>測試與除錯：找出最短破關路線</x:v>
      </x:c>
      <x:c r="F190" s="38" t="n">
        <x:v>3</x:v>
      </x:c>
      <x:c r="G190" s="38" t="str">
        <x:v>中文延伸／倫理安全</x:v>
      </x:c>
      <x:c r="H190" s="38" t="str">
        <x:v>測試與除錯 找出最短破關路線 中文 教學 原理 安全 親子 Python programming beginner</x:v>
      </x:c>
      <x:c r="I190" s="38" t="str">
        <x:v>https://www.youtube.com/results?search_query=%E6%B8%AC%E8%A9%A6%E8%88%87%E9%99%A4%E9%8C%AF+%E6%89%BE%E5%87%BA%E6%9C%80%E7%9F%AD%E7%A0%B4%E9%97%9C%E8%B7%AF%E7%B7%9A+%E4%B8%AD%E6%96%87+%E6%95%99%E5%AD%B8+%E5%8E%9F%E7%90%86+%E5%AE%89%E5%85%A8+%E8%A6%AA%E5%AD%90+Python+programming+beginner</x:v>
      </x:c>
      <x:c r="J190" s="38" t="str">
        <x:v>課後延伸／親子討論</x:v>
      </x:c>
      <x:c r="K190" s="38" t="str">
        <x:v>6–15 分鐘</x:v>
      </x:c>
      <x:c r="L190" s="38" t="str">
        <x:v>補充應用、倫理、安全或真實案例；父子各說一個觀點</x:v>
      </x:c>
      <x:c r="M190" s="38" t="str">
        <x:v>□ 未挑選</x:v>
      </x:c>
      <x:c r="N190" s="38" t="str"/>
      <x:c r="O190" s="38" t="str"/>
    </x:row>
    <x:row r="191">
      <x:c r="A191" s="38" t="n">
        <x:v>64</x:v>
      </x:c>
      <x:c r="B191" s="38" t="str">
        <x:v>第 2 年</x:v>
      </x:c>
      <x:c r="C191" s="38" t="str">
        <x:v>M04 Python 冒險：從文字到小遊戲</x:v>
      </x:c>
      <x:c r="D191" s="38" t="n">
        <x:v>16</x:v>
      </x:c>
      <x:c r="E191" s="38" t="str">
        <x:v>發布 v1.0：寫給玩家的說明</x:v>
      </x:c>
      <x:c r="F191" s="38" t="n">
        <x:v>1</x:v>
      </x:c>
      <x:c r="G191" s="38" t="str">
        <x:v>概念入門／官方優先</x:v>
      </x:c>
      <x:c r="H191" s="38" t="str">
        <x:v>發布 v1.0 寫給玩家的說明 Python programming beginner beginner tutorial Python</x:v>
      </x:c>
      <x:c r="I191" s="38" t="str">
        <x:v>https://www.youtube.com/results?search_query=%E7%99%BC%E5%B8%83+v1.0+%E5%AF%AB%E7%B5%A6%E7%8E%A9%E5%AE%B6%E7%9A%84%E8%AA%AA%E6%98%8E+Python+programming+beginner+beginner+tutorial+Python</x:v>
      </x:c>
      <x:c r="J191" s="38" t="str">
        <x:v>課前暖身</x:v>
      </x:c>
      <x:c r="K191" s="38" t="str">
        <x:v>5–12 分鐘</x:v>
      </x:c>
      <x:c r="L191" s="38" t="str">
        <x:v>先建立直覺；看完能說出 3 個關鍵詞</x:v>
      </x:c>
      <x:c r="M191" s="38" t="str">
        <x:v>□ 未挑選</x:v>
      </x:c>
      <x:c r="N191" s="38" t="str"/>
      <x:c r="O191" s="38" t="str"/>
    </x:row>
    <x:row r="192">
      <x:c r="A192" s="38" t="n">
        <x:v>64</x:v>
      </x:c>
      <x:c r="B192" s="38" t="str">
        <x:v>第 2 年</x:v>
      </x:c>
      <x:c r="C192" s="38" t="str">
        <x:v>M04 Python 冒險：從文字到小遊戲</x:v>
      </x:c>
      <x:c r="D192" s="38" t="n">
        <x:v>16</x:v>
      </x:c>
      <x:c r="E192" s="38" t="str">
        <x:v>發布 v1.0：寫給玩家的說明</x:v>
      </x:c>
      <x:c r="F192" s="38" t="n">
        <x:v>2</x:v>
      </x:c>
      <x:c r="G192" s="38" t="str">
        <x:v>跟做實作／專案導向</x:v>
      </x:c>
      <x:c r="H192" s="38" t="str">
        <x:v>發布 v1.0 寫給玩家的說明 練習 README、操作說明、版本紀錄與展示 hands on project for kids Python programming beginner</x:v>
      </x:c>
      <x:c r="I192" s="38" t="str">
        <x:v>https://www.youtube.com/results?search_query=%E7%99%BC%E5%B8%83+v1.0+%E5%AF%AB%E7%B5%A6%E7%8E%A9%E5%AE%B6%E7%9A%84%E8%AA%AA%E6%98%8E+%E7%B7%B4%E7%BF%92+README%E3%80%81%E6%93%8D%E4%BD%9C%E8%AA%AA%E6%98%8E%E3%80%81%E7%89%88%E6%9C%AC%E7%B4%80%E9%8C%84%E8%88%87%E5%B1%95%E7%A4%BA+hands+on+project+for+kids+Python+programming+beginner</x:v>
      </x:c>
      <x:c r="J192" s="38" t="str">
        <x:v>課中實作參考</x:v>
      </x:c>
      <x:c r="K192" s="38" t="str">
        <x:v>8–20 分鐘</x:v>
      </x:c>
      <x:c r="L192" s="38" t="str">
        <x:v>優先找有畫面操作、步驟清楚、可暫停跟做的版本</x:v>
      </x:c>
      <x:c r="M192" s="38" t="str">
        <x:v>□ 未挑選</x:v>
      </x:c>
      <x:c r="N192" s="38" t="str"/>
      <x:c r="O192" s="38" t="str"/>
    </x:row>
    <x:row r="193">
      <x:c r="A193" s="38" t="n">
        <x:v>64</x:v>
      </x:c>
      <x:c r="B193" s="38" t="str">
        <x:v>第 2 年</x:v>
      </x:c>
      <x:c r="C193" s="38" t="str">
        <x:v>M04 Python 冒險：從文字到小遊戲</x:v>
      </x:c>
      <x:c r="D193" s="38" t="n">
        <x:v>16</x:v>
      </x:c>
      <x:c r="E193" s="38" t="str">
        <x:v>發布 v1.0：寫給玩家的說明</x:v>
      </x:c>
      <x:c r="F193" s="38" t="n">
        <x:v>3</x:v>
      </x:c>
      <x:c r="G193" s="38" t="str">
        <x:v>中文延伸／倫理安全</x:v>
      </x:c>
      <x:c r="H193" s="38" t="str">
        <x:v>發布 v1.0 寫給玩家的說明 中文 教學 原理 安全 親子 Python programming beginner</x:v>
      </x:c>
      <x:c r="I193" s="38" t="str">
        <x:v>https://www.youtube.com/results?search_query=%E7%99%BC%E5%B8%83+v1.0+%E5%AF%AB%E7%B5%A6%E7%8E%A9%E5%AE%B6%E7%9A%84%E8%AA%AA%E6%98%8E+%E4%B8%AD%E6%96%87+%E6%95%99%E5%AD%B8+%E5%8E%9F%E7%90%86+%E5%AE%89%E5%85%A8+%E8%A6%AA%E5%AD%90+Python+programming+beginner</x:v>
      </x:c>
      <x:c r="J193" s="38" t="str">
        <x:v>課後延伸／親子討論</x:v>
      </x:c>
      <x:c r="K193" s="38" t="str">
        <x:v>6–15 分鐘</x:v>
      </x:c>
      <x:c r="L193" s="38" t="str">
        <x:v>補充應用、倫理、安全或真實案例；父子各說一個觀點</x:v>
      </x:c>
      <x:c r="M193" s="38" t="str">
        <x:v>□ 未挑選</x:v>
      </x:c>
      <x:c r="N193" s="38" t="str"/>
      <x:c r="O193" s="38" t="str"/>
    </x:row>
    <x:row r="194">
      <x:c r="A194" s="38" t="n">
        <x:v>65</x:v>
      </x:c>
      <x:c r="B194" s="38" t="str">
        <x:v>第 2 年</x:v>
      </x:c>
      <x:c r="C194" s="38" t="str">
        <x:v>M05 Web 創作者：我的第一個網站</x:v>
      </x:c>
      <x:c r="D194" s="38" t="n">
        <x:v>1</x:v>
      </x:c>
      <x:c r="E194" s="38" t="str">
        <x:v>網頁、網站、瀏覽器與伺服器</x:v>
      </x:c>
      <x:c r="F194" s="38" t="n">
        <x:v>1</x:v>
      </x:c>
      <x:c r="G194" s="38" t="str">
        <x:v>概念入門／官方優先</x:v>
      </x:c>
      <x:c r="H194" s="38" t="str">
        <x:v>網頁、網站、瀏覽器與伺服器 HTML CSS JavaScript web development beginner tutorial MDN</x:v>
      </x:c>
      <x:c r="I194" s="38" t="str">
        <x:v>https://www.youtube.com/results?search_query=%E7%B6%B2%E9%A0%81%E3%80%81%E7%B6%B2%E7%AB%99%E3%80%81%E7%80%8F%E8%A6%BD%E5%99%A8%E8%88%87%E4%BC%BA%E6%9C%8D%E5%99%A8+HTML+CSS+JavaScript+web+development+beginner+tutorial+MDN</x:v>
      </x:c>
      <x:c r="J194" s="38" t="str">
        <x:v>課前暖身</x:v>
      </x:c>
      <x:c r="K194" s="38" t="str">
        <x:v>5–12 分鐘</x:v>
      </x:c>
      <x:c r="L194" s="38" t="str">
        <x:v>先建立直覺；看完能說出 3 個關鍵詞</x:v>
      </x:c>
      <x:c r="M194" s="38" t="str">
        <x:v>□ 未挑選</x:v>
      </x:c>
      <x:c r="N194" s="38" t="str"/>
      <x:c r="O194" s="38" t="str"/>
    </x:row>
    <x:row r="195">
      <x:c r="A195" s="38" t="n">
        <x:v>65</x:v>
      </x:c>
      <x:c r="B195" s="38" t="str">
        <x:v>第 2 年</x:v>
      </x:c>
      <x:c r="C195" s="38" t="str">
        <x:v>M05 Web 創作者：我的第一個網站</x:v>
      </x:c>
      <x:c r="D195" s="38" t="n">
        <x:v>1</x:v>
      </x:c>
      <x:c r="E195" s="38" t="str">
        <x:v>網頁、網站、瀏覽器與伺服器</x:v>
      </x:c>
      <x:c r="F195" s="38" t="n">
        <x:v>2</x:v>
      </x:c>
      <x:c r="G195" s="38" t="str">
        <x:v>跟做實作／專案導向</x:v>
      </x:c>
      <x:c r="H195" s="38" t="str">
        <x:v>網頁、網站、瀏覽器與伺服器 理解 URL、HTTP、前端檔案與請求回應 hands on project for kids HTML CSS JavaScript web development</x:v>
      </x:c>
      <x:c r="I195" s="38" t="str">
        <x:v>https://www.youtube.com/results?search_query=%E7%B6%B2%E9%A0%81%E3%80%81%E7%B6%B2%E7%AB%99%E3%80%81%E7%80%8F%E8%A6%BD%E5%99%A8%E8%88%87%E4%BC%BA%E6%9C%8D%E5%99%A8+%E7%90%86%E8%A7%A3+URL%E3%80%81HTTP%E3%80%81%E5%89%8D%E7%AB%AF%E6%AA%94%E6%A1%88%E8%88%87%E8%AB%8B%E6%B1%82%E5%9B%9E%E6%87%89+hands+on+project+for+kids+HTML+CSS+JavaScript+web+development</x:v>
      </x:c>
      <x:c r="J195" s="38" t="str">
        <x:v>課中實作參考</x:v>
      </x:c>
      <x:c r="K195" s="38" t="str">
        <x:v>8–20 分鐘</x:v>
      </x:c>
      <x:c r="L195" s="38" t="str">
        <x:v>優先找有畫面操作、步驟清楚、可暫停跟做的版本</x:v>
      </x:c>
      <x:c r="M195" s="38" t="str">
        <x:v>□ 未挑選</x:v>
      </x:c>
      <x:c r="N195" s="38" t="str"/>
      <x:c r="O195" s="38" t="str"/>
    </x:row>
    <x:row r="196">
      <x:c r="A196" s="38" t="n">
        <x:v>65</x:v>
      </x:c>
      <x:c r="B196" s="38" t="str">
        <x:v>第 2 年</x:v>
      </x:c>
      <x:c r="C196" s="38" t="str">
        <x:v>M05 Web 創作者：我的第一個網站</x:v>
      </x:c>
      <x:c r="D196" s="38" t="n">
        <x:v>1</x:v>
      </x:c>
      <x:c r="E196" s="38" t="str">
        <x:v>網頁、網站、瀏覽器與伺服器</x:v>
      </x:c>
      <x:c r="F196" s="38" t="n">
        <x:v>3</x:v>
      </x:c>
      <x:c r="G196" s="38" t="str">
        <x:v>中文延伸／倫理安全</x:v>
      </x:c>
      <x:c r="H196" s="38" t="str">
        <x:v>網頁、網站、瀏覽器與伺服器 中文 教學 原理 安全 親子 HTML CSS JavaScript web development</x:v>
      </x:c>
      <x:c r="I196" s="38" t="str">
        <x:v>https://www.youtube.com/results?search_query=%E7%B6%B2%E9%A0%81%E3%80%81%E7%B6%B2%E7%AB%99%E3%80%81%E7%80%8F%E8%A6%BD%E5%99%A8%E8%88%87%E4%BC%BA%E6%9C%8D%E5%99%A8+%E4%B8%AD%E6%96%87+%E6%95%99%E5%AD%B8+%E5%8E%9F%E7%90%86+%E5%AE%89%E5%85%A8+%E8%A6%AA%E5%AD%90+HTML+CSS+JavaScript+web+development</x:v>
      </x:c>
      <x:c r="J196" s="38" t="str">
        <x:v>課後延伸／親子討論</x:v>
      </x:c>
      <x:c r="K196" s="38" t="str">
        <x:v>6–15 分鐘</x:v>
      </x:c>
      <x:c r="L196" s="38" t="str">
        <x:v>補充應用、倫理、安全或真實案例；父子各說一個觀點</x:v>
      </x:c>
      <x:c r="M196" s="38" t="str">
        <x:v>□ 未挑選</x:v>
      </x:c>
      <x:c r="N196" s="38" t="str"/>
      <x:c r="O196" s="38" t="str"/>
    </x:row>
    <x:row r="197">
      <x:c r="A197" s="38" t="n">
        <x:v>66</x:v>
      </x:c>
      <x:c r="B197" s="38" t="str">
        <x:v>第 2 年</x:v>
      </x:c>
      <x:c r="C197" s="38" t="str">
        <x:v>M05 Web 創作者：我的第一個網站</x:v>
      </x:c>
      <x:c r="D197" s="38" t="n">
        <x:v>2</x:v>
      </x:c>
      <x:c r="E197" s="38" t="str">
        <x:v>HTML 骨架：內容的房子</x:v>
      </x:c>
      <x:c r="F197" s="38" t="n">
        <x:v>1</x:v>
      </x:c>
      <x:c r="G197" s="38" t="str">
        <x:v>概念入門／官方優先</x:v>
      </x:c>
      <x:c r="H197" s="38" t="str">
        <x:v>HTML 骨架 內容的房子 HTML CSS JavaScript web development beginner tutorial MDN</x:v>
      </x:c>
      <x:c r="I197" s="38" t="str">
        <x:v>https://www.youtube.com/results?search_query=HTML+%E9%AA%A8%E6%9E%B6+%E5%85%A7%E5%AE%B9%E7%9A%84%E6%88%BF%E5%AD%90+HTML+CSS+JavaScript+web+development+beginner+tutorial+MDN</x:v>
      </x:c>
      <x:c r="J197" s="38" t="str">
        <x:v>課前暖身</x:v>
      </x:c>
      <x:c r="K197" s="38" t="str">
        <x:v>5–12 分鐘</x:v>
      </x:c>
      <x:c r="L197" s="38" t="str">
        <x:v>先建立直覺；看完能說出 3 個關鍵詞</x:v>
      </x:c>
      <x:c r="M197" s="38" t="str">
        <x:v>□ 未挑選</x:v>
      </x:c>
      <x:c r="N197" s="38" t="str"/>
      <x:c r="O197" s="38" t="str"/>
    </x:row>
    <x:row r="198">
      <x:c r="A198" s="38" t="n">
        <x:v>66</x:v>
      </x:c>
      <x:c r="B198" s="38" t="str">
        <x:v>第 2 年</x:v>
      </x:c>
      <x:c r="C198" s="38" t="str">
        <x:v>M05 Web 創作者：我的第一個網站</x:v>
      </x:c>
      <x:c r="D198" s="38" t="n">
        <x:v>2</x:v>
      </x:c>
      <x:c r="E198" s="38" t="str">
        <x:v>HTML 骨架：內容的房子</x:v>
      </x:c>
      <x:c r="F198" s="38" t="n">
        <x:v>2</x:v>
      </x:c>
      <x:c r="G198" s="38" t="str">
        <x:v>跟做實作／專案導向</x:v>
      </x:c>
      <x:c r="H198" s="38" t="str">
        <x:v>HTML 骨架 內容的房子 使用 doctype、html、head、body、標題與段落 hands on project for kids HTML CSS JavaScript web</x:v>
      </x:c>
      <x:c r="I198" s="38" t="str">
        <x:v>https://www.youtube.com/results?search_query=HTML+%E9%AA%A8%E6%9E%B6+%E5%85%A7%E5%AE%B9%E7%9A%84%E6%88%BF%E5%AD%90+%E4%BD%BF%E7%94%A8+doctype%E3%80%81html%E3%80%81head%E3%80%81body%E3%80%81%E6%A8%99%E9%A1%8C%E8%88%87%E6%AE%B5%E8%90%BD+hands+on+project+for+kids+HTML+CSS+JavaScript+web+development</x:v>
      </x:c>
      <x:c r="J198" s="38" t="str">
        <x:v>課中實作參考</x:v>
      </x:c>
      <x:c r="K198" s="38" t="str">
        <x:v>8–20 分鐘</x:v>
      </x:c>
      <x:c r="L198" s="38" t="str">
        <x:v>優先找有畫面操作、步驟清楚、可暫停跟做的版本</x:v>
      </x:c>
      <x:c r="M198" s="38" t="str">
        <x:v>□ 未挑選</x:v>
      </x:c>
      <x:c r="N198" s="38" t="str"/>
      <x:c r="O198" s="38" t="str"/>
    </x:row>
    <x:row r="199">
      <x:c r="A199" s="38" t="n">
        <x:v>66</x:v>
      </x:c>
      <x:c r="B199" s="38" t="str">
        <x:v>第 2 年</x:v>
      </x:c>
      <x:c r="C199" s="38" t="str">
        <x:v>M05 Web 創作者：我的第一個網站</x:v>
      </x:c>
      <x:c r="D199" s="38" t="n">
        <x:v>2</x:v>
      </x:c>
      <x:c r="E199" s="38" t="str">
        <x:v>HTML 骨架：內容的房子</x:v>
      </x:c>
      <x:c r="F199" s="38" t="n">
        <x:v>3</x:v>
      </x:c>
      <x:c r="G199" s="38" t="str">
        <x:v>中文延伸／倫理安全</x:v>
      </x:c>
      <x:c r="H199" s="38" t="str">
        <x:v>HTML 骨架 內容的房子 中文 教學 原理 安全 親子 HTML CSS JavaScript web development</x:v>
      </x:c>
      <x:c r="I199" s="38" t="str">
        <x:v>https://www.youtube.com/results?search_query=HTML+%E9%AA%A8%E6%9E%B6+%E5%85%A7%E5%AE%B9%E7%9A%84%E6%88%BF%E5%AD%90+%E4%B8%AD%E6%96%87+%E6%95%99%E5%AD%B8+%E5%8E%9F%E7%90%86+%E5%AE%89%E5%85%A8+%E8%A6%AA%E5%AD%90+HTML+CSS+JavaScript+web+development</x:v>
      </x:c>
      <x:c r="J199" s="38" t="str">
        <x:v>課後延伸／親子討論</x:v>
      </x:c>
      <x:c r="K199" s="38" t="str">
        <x:v>6–15 分鐘</x:v>
      </x:c>
      <x:c r="L199" s="38" t="str">
        <x:v>補充應用、倫理、安全或真實案例；父子各說一個觀點</x:v>
      </x:c>
      <x:c r="M199" s="38" t="str">
        <x:v>□ 未挑選</x:v>
      </x:c>
      <x:c r="N199" s="38" t="str"/>
      <x:c r="O199" s="38" t="str"/>
    </x:row>
    <x:row r="200">
      <x:c r="A200" s="38" t="n">
        <x:v>67</x:v>
      </x:c>
      <x:c r="B200" s="38" t="str">
        <x:v>第 2 年</x:v>
      </x:c>
      <x:c r="C200" s="38" t="str">
        <x:v>M05 Web 創作者：我的第一個網站</x:v>
      </x:c>
      <x:c r="D200" s="38" t="n">
        <x:v>3</x:v>
      </x:c>
      <x:c r="E200" s="38" t="str">
        <x:v>連結、圖片與清單</x:v>
      </x:c>
      <x:c r="F200" s="38" t="n">
        <x:v>1</x:v>
      </x:c>
      <x:c r="G200" s="38" t="str">
        <x:v>概念入門／官方優先</x:v>
      </x:c>
      <x:c r="H200" s="38" t="str">
        <x:v>連結、圖片與清單 HTML CSS JavaScript web development beginner tutorial MDN</x:v>
      </x:c>
      <x:c r="I200" s="38" t="str">
        <x:v>https://www.youtube.com/results?search_query=%E9%80%A3%E7%B5%90%E3%80%81%E5%9C%96%E7%89%87%E8%88%87%E6%B8%85%E5%96%AE+HTML+CSS+JavaScript+web+development+beginner+tutorial+MDN</x:v>
      </x:c>
      <x:c r="J200" s="38" t="str">
        <x:v>課前暖身</x:v>
      </x:c>
      <x:c r="K200" s="38" t="str">
        <x:v>5–12 分鐘</x:v>
      </x:c>
      <x:c r="L200" s="38" t="str">
        <x:v>先建立直覺；看完能說出 3 個關鍵詞</x:v>
      </x:c>
      <x:c r="M200" s="38" t="str">
        <x:v>□ 未挑選</x:v>
      </x:c>
      <x:c r="N200" s="38" t="str"/>
      <x:c r="O200" s="38" t="str"/>
    </x:row>
    <x:row r="201">
      <x:c r="A201" s="38" t="n">
        <x:v>67</x:v>
      </x:c>
      <x:c r="B201" s="38" t="str">
        <x:v>第 2 年</x:v>
      </x:c>
      <x:c r="C201" s="38" t="str">
        <x:v>M05 Web 創作者：我的第一個網站</x:v>
      </x:c>
      <x:c r="D201" s="38" t="n">
        <x:v>3</x:v>
      </x:c>
      <x:c r="E201" s="38" t="str">
        <x:v>連結、圖片與清單</x:v>
      </x:c>
      <x:c r="F201" s="38" t="n">
        <x:v>2</x:v>
      </x:c>
      <x:c r="G201" s="38" t="str">
        <x:v>跟做實作／專案導向</x:v>
      </x:c>
      <x:c r="H201" s="38" t="str">
        <x:v>連結、圖片與清單 正確使用相對路徑、alt 文字與語意清單 hands on project for kids HTML CSS JavaScript web development</x:v>
      </x:c>
      <x:c r="I201" s="38" t="str">
        <x:v>https://www.youtube.com/results?search_query=%E9%80%A3%E7%B5%90%E3%80%81%E5%9C%96%E7%89%87%E8%88%87%E6%B8%85%E5%96%AE+%E6%AD%A3%E7%A2%BA%E4%BD%BF%E7%94%A8%E7%9B%B8%E5%B0%8D%E8%B7%AF%E5%BE%91%E3%80%81alt+%E6%96%87%E5%AD%97%E8%88%87%E8%AA%9E%E6%84%8F%E6%B8%85%E5%96%AE+hands+on+project+for+kids+HTML+CSS+JavaScript+web+development</x:v>
      </x:c>
      <x:c r="J201" s="38" t="str">
        <x:v>課中實作參考</x:v>
      </x:c>
      <x:c r="K201" s="38" t="str">
        <x:v>8–20 分鐘</x:v>
      </x:c>
      <x:c r="L201" s="38" t="str">
        <x:v>優先找有畫面操作、步驟清楚、可暫停跟做的版本</x:v>
      </x:c>
      <x:c r="M201" s="38" t="str">
        <x:v>□ 未挑選</x:v>
      </x:c>
      <x:c r="N201" s="38" t="str"/>
      <x:c r="O201" s="38" t="str"/>
    </x:row>
    <x:row r="202">
      <x:c r="A202" s="38" t="n">
        <x:v>67</x:v>
      </x:c>
      <x:c r="B202" s="38" t="str">
        <x:v>第 2 年</x:v>
      </x:c>
      <x:c r="C202" s="38" t="str">
        <x:v>M05 Web 創作者：我的第一個網站</x:v>
      </x:c>
      <x:c r="D202" s="38" t="n">
        <x:v>3</x:v>
      </x:c>
      <x:c r="E202" s="38" t="str">
        <x:v>連結、圖片與清單</x:v>
      </x:c>
      <x:c r="F202" s="38" t="n">
        <x:v>3</x:v>
      </x:c>
      <x:c r="G202" s="38" t="str">
        <x:v>中文延伸／倫理安全</x:v>
      </x:c>
      <x:c r="H202" s="38" t="str">
        <x:v>連結、圖片與清單 中文 教學 原理 安全 親子 HTML CSS JavaScript web development</x:v>
      </x:c>
      <x:c r="I202" s="38" t="str">
        <x:v>https://www.youtube.com/results?search_query=%E9%80%A3%E7%B5%90%E3%80%81%E5%9C%96%E7%89%87%E8%88%87%E6%B8%85%E5%96%AE+%E4%B8%AD%E6%96%87+%E6%95%99%E5%AD%B8+%E5%8E%9F%E7%90%86+%E5%AE%89%E5%85%A8+%E8%A6%AA%E5%AD%90+HTML+CSS+JavaScript+web+development</x:v>
      </x:c>
      <x:c r="J202" s="38" t="str">
        <x:v>課後延伸／親子討論</x:v>
      </x:c>
      <x:c r="K202" s="38" t="str">
        <x:v>6–15 分鐘</x:v>
      </x:c>
      <x:c r="L202" s="38" t="str">
        <x:v>補充應用、倫理、安全或真實案例；父子各說一個觀點</x:v>
      </x:c>
      <x:c r="M202" s="38" t="str">
        <x:v>□ 未挑選</x:v>
      </x:c>
      <x:c r="N202" s="38" t="str"/>
      <x:c r="O202" s="38" t="str"/>
    </x:row>
    <x:row r="203">
      <x:c r="A203" s="38" t="n">
        <x:v>68</x:v>
      </x:c>
      <x:c r="B203" s="38" t="str">
        <x:v>第 2 年</x:v>
      </x:c>
      <x:c r="C203" s="38" t="str">
        <x:v>M05 Web 創作者：我的第一個網站</x:v>
      </x:c>
      <x:c r="D203" s="38" t="n">
        <x:v>4</x:v>
      </x:c>
      <x:c r="E203" s="38" t="str">
        <x:v>CSS 上色但不失控</x:v>
      </x:c>
      <x:c r="F203" s="38" t="n">
        <x:v>1</x:v>
      </x:c>
      <x:c r="G203" s="38" t="str">
        <x:v>概念入門／官方優先</x:v>
      </x:c>
      <x:c r="H203" s="38" t="str">
        <x:v>CSS 上色但不失控 HTML CSS JavaScript web development beginner tutorial MDN</x:v>
      </x:c>
      <x:c r="I203" s="38" t="str">
        <x:v>https://www.youtube.com/results?search_query=CSS+%E4%B8%8A%E8%89%B2%E4%BD%86%E4%B8%8D%E5%A4%B1%E6%8E%A7+HTML+CSS+JavaScript+web+development+beginner+tutorial+MDN</x:v>
      </x:c>
      <x:c r="J203" s="38" t="str">
        <x:v>課前暖身</x:v>
      </x:c>
      <x:c r="K203" s="38" t="str">
        <x:v>5–12 分鐘</x:v>
      </x:c>
      <x:c r="L203" s="38" t="str">
        <x:v>先建立直覺；看完能說出 3 個關鍵詞</x:v>
      </x:c>
      <x:c r="M203" s="38" t="str">
        <x:v>□ 未挑選</x:v>
      </x:c>
      <x:c r="N203" s="38" t="str"/>
      <x:c r="O203" s="38" t="str"/>
    </x:row>
    <x:row r="204">
      <x:c r="A204" s="38" t="n">
        <x:v>68</x:v>
      </x:c>
      <x:c r="B204" s="38" t="str">
        <x:v>第 2 年</x:v>
      </x:c>
      <x:c r="C204" s="38" t="str">
        <x:v>M05 Web 創作者：我的第一個網站</x:v>
      </x:c>
      <x:c r="D204" s="38" t="n">
        <x:v>4</x:v>
      </x:c>
      <x:c r="E204" s="38" t="str">
        <x:v>CSS 上色但不失控</x:v>
      </x:c>
      <x:c r="F204" s="38" t="n">
        <x:v>2</x:v>
      </x:c>
      <x:c r="G204" s="38" t="str">
        <x:v>跟做實作／專案導向</x:v>
      </x:c>
      <x:c r="H204" s="38" t="str">
        <x:v>CSS 上色但不失控 使用 selector、class、顏色、字體與繼承 hands on project for kids HTML CSS JavaScript web development</x:v>
      </x:c>
      <x:c r="I204" s="38" t="str">
        <x:v>https://www.youtube.com/results?search_query=CSS+%E4%B8%8A%E8%89%B2%E4%BD%86%E4%B8%8D%E5%A4%B1%E6%8E%A7+%E4%BD%BF%E7%94%A8+selector%E3%80%81class%E3%80%81%E9%A1%8F%E8%89%B2%E3%80%81%E5%AD%97%E9%AB%94%E8%88%87%E7%B9%BC%E6%89%BF+hands+on+project+for+kids+HTML+CSS+JavaScript+web+development</x:v>
      </x:c>
      <x:c r="J204" s="38" t="str">
        <x:v>課中實作參考</x:v>
      </x:c>
      <x:c r="K204" s="38" t="str">
        <x:v>8–20 分鐘</x:v>
      </x:c>
      <x:c r="L204" s="38" t="str">
        <x:v>優先找有畫面操作、步驟清楚、可暫停跟做的版本</x:v>
      </x:c>
      <x:c r="M204" s="38" t="str">
        <x:v>□ 未挑選</x:v>
      </x:c>
      <x:c r="N204" s="38" t="str"/>
      <x:c r="O204" s="38" t="str"/>
    </x:row>
    <x:row r="205">
      <x:c r="A205" s="38" t="n">
        <x:v>68</x:v>
      </x:c>
      <x:c r="B205" s="38" t="str">
        <x:v>第 2 年</x:v>
      </x:c>
      <x:c r="C205" s="38" t="str">
        <x:v>M05 Web 創作者：我的第一個網站</x:v>
      </x:c>
      <x:c r="D205" s="38" t="n">
        <x:v>4</x:v>
      </x:c>
      <x:c r="E205" s="38" t="str">
        <x:v>CSS 上色但不失控</x:v>
      </x:c>
      <x:c r="F205" s="38" t="n">
        <x:v>3</x:v>
      </x:c>
      <x:c r="G205" s="38" t="str">
        <x:v>中文延伸／倫理安全</x:v>
      </x:c>
      <x:c r="H205" s="38" t="str">
        <x:v>CSS 上色但不失控 中文 教學 原理 安全 親子 HTML CSS JavaScript web development</x:v>
      </x:c>
      <x:c r="I205" s="38" t="str">
        <x:v>https://www.youtube.com/results?search_query=CSS+%E4%B8%8A%E8%89%B2%E4%BD%86%E4%B8%8D%E5%A4%B1%E6%8E%A7+%E4%B8%AD%E6%96%87+%E6%95%99%E5%AD%B8+%E5%8E%9F%E7%90%86+%E5%AE%89%E5%85%A8+%E8%A6%AA%E5%AD%90+HTML+CSS+JavaScript+web+development</x:v>
      </x:c>
      <x:c r="J205" s="38" t="str">
        <x:v>課後延伸／親子討論</x:v>
      </x:c>
      <x:c r="K205" s="38" t="str">
        <x:v>6–15 分鐘</x:v>
      </x:c>
      <x:c r="L205" s="38" t="str">
        <x:v>補充應用、倫理、安全或真實案例；父子各說一個觀點</x:v>
      </x:c>
      <x:c r="M205" s="38" t="str">
        <x:v>□ 未挑選</x:v>
      </x:c>
      <x:c r="N205" s="38" t="str"/>
      <x:c r="O205" s="38" t="str"/>
    </x:row>
    <x:row r="206">
      <x:c r="A206" s="38" t="n">
        <x:v>69</x:v>
      </x:c>
      <x:c r="B206" s="38" t="str">
        <x:v>第 2 年</x:v>
      </x:c>
      <x:c r="C206" s="38" t="str">
        <x:v>M05 Web 創作者：我的第一個網站</x:v>
      </x:c>
      <x:c r="D206" s="38" t="n">
        <x:v>5</x:v>
      </x:c>
      <x:c r="E206" s="38" t="str">
        <x:v>Box Model：每個元素都有盒子</x:v>
      </x:c>
      <x:c r="F206" s="38" t="n">
        <x:v>1</x:v>
      </x:c>
      <x:c r="G206" s="38" t="str">
        <x:v>概念入門／官方優先</x:v>
      </x:c>
      <x:c r="H206" s="38" t="str">
        <x:v>Box Model 每個元素都有盒子 HTML CSS JavaScript web development beginner tutorial MDN</x:v>
      </x:c>
      <x:c r="I206" s="38" t="str">
        <x:v>https://www.youtube.com/results?search_query=Box+Model+%E6%AF%8F%E5%80%8B%E5%85%83%E7%B4%A0%E9%83%BD%E6%9C%89%E7%9B%92%E5%AD%90+HTML+CSS+JavaScript+web+development+beginner+tutorial+MDN</x:v>
      </x:c>
      <x:c r="J206" s="38" t="str">
        <x:v>課前暖身</x:v>
      </x:c>
      <x:c r="K206" s="38" t="str">
        <x:v>5–12 分鐘</x:v>
      </x:c>
      <x:c r="L206" s="38" t="str">
        <x:v>先建立直覺；看完能說出 3 個關鍵詞</x:v>
      </x:c>
      <x:c r="M206" s="38" t="str">
        <x:v>□ 未挑選</x:v>
      </x:c>
      <x:c r="N206" s="38" t="str"/>
      <x:c r="O206" s="38" t="str"/>
    </x:row>
    <x:row r="207">
      <x:c r="A207" s="38" t="n">
        <x:v>69</x:v>
      </x:c>
      <x:c r="B207" s="38" t="str">
        <x:v>第 2 年</x:v>
      </x:c>
      <x:c r="C207" s="38" t="str">
        <x:v>M05 Web 創作者：我的第一個網站</x:v>
      </x:c>
      <x:c r="D207" s="38" t="n">
        <x:v>5</x:v>
      </x:c>
      <x:c r="E207" s="38" t="str">
        <x:v>Box Model：每個元素都有盒子</x:v>
      </x:c>
      <x:c r="F207" s="38" t="n">
        <x:v>2</x:v>
      </x:c>
      <x:c r="G207" s="38" t="str">
        <x:v>跟做實作／專案導向</x:v>
      </x:c>
      <x:c r="H207" s="38" t="str">
        <x:v>Box Model 每個元素都有盒子 理解 margin、border、padding、width hands on project for kids HTML CSS JavaScript web</x:v>
      </x:c>
      <x:c r="I207" s="38" t="str">
        <x:v>https://www.youtube.com/results?search_query=Box+Model+%E6%AF%8F%E5%80%8B%E5%85%83%E7%B4%A0%E9%83%BD%E6%9C%89%E7%9B%92%E5%AD%90+%E7%90%86%E8%A7%A3+margin%E3%80%81border%E3%80%81padding%E3%80%81width+hands+on+project+for+kids+HTML+CSS+JavaScript+web+development</x:v>
      </x:c>
      <x:c r="J207" s="38" t="str">
        <x:v>課中實作參考</x:v>
      </x:c>
      <x:c r="K207" s="38" t="str">
        <x:v>8–20 分鐘</x:v>
      </x:c>
      <x:c r="L207" s="38" t="str">
        <x:v>優先找有畫面操作、步驟清楚、可暫停跟做的版本</x:v>
      </x:c>
      <x:c r="M207" s="38" t="str">
        <x:v>□ 未挑選</x:v>
      </x:c>
      <x:c r="N207" s="38" t="str"/>
      <x:c r="O207" s="38" t="str"/>
    </x:row>
    <x:row r="208">
      <x:c r="A208" s="38" t="n">
        <x:v>69</x:v>
      </x:c>
      <x:c r="B208" s="38" t="str">
        <x:v>第 2 年</x:v>
      </x:c>
      <x:c r="C208" s="38" t="str">
        <x:v>M05 Web 創作者：我的第一個網站</x:v>
      </x:c>
      <x:c r="D208" s="38" t="n">
        <x:v>5</x:v>
      </x:c>
      <x:c r="E208" s="38" t="str">
        <x:v>Box Model：每個元素都有盒子</x:v>
      </x:c>
      <x:c r="F208" s="38" t="n">
        <x:v>3</x:v>
      </x:c>
      <x:c r="G208" s="38" t="str">
        <x:v>中文延伸／倫理安全</x:v>
      </x:c>
      <x:c r="H208" s="38" t="str">
        <x:v>Box Model 每個元素都有盒子 中文 教學 原理 安全 親子 HTML CSS JavaScript web development</x:v>
      </x:c>
      <x:c r="I208" s="38" t="str">
        <x:v>https://www.youtube.com/results?search_query=Box+Model+%E6%AF%8F%E5%80%8B%E5%85%83%E7%B4%A0%E9%83%BD%E6%9C%89%E7%9B%92%E5%AD%90+%E4%B8%AD%E6%96%87+%E6%95%99%E5%AD%B8+%E5%8E%9F%E7%90%86+%E5%AE%89%E5%85%A8+%E8%A6%AA%E5%AD%90+HTML+CSS+JavaScript+web+development</x:v>
      </x:c>
      <x:c r="J208" s="38" t="str">
        <x:v>課後延伸／親子討論</x:v>
      </x:c>
      <x:c r="K208" s="38" t="str">
        <x:v>6–15 分鐘</x:v>
      </x:c>
      <x:c r="L208" s="38" t="str">
        <x:v>補充應用、倫理、安全或真實案例；父子各說一個觀點</x:v>
      </x:c>
      <x:c r="M208" s="38" t="str">
        <x:v>□ 未挑選</x:v>
      </x:c>
      <x:c r="N208" s="38" t="str"/>
      <x:c r="O208" s="38" t="str"/>
    </x:row>
    <x:row r="209">
      <x:c r="A209" s="38" t="n">
        <x:v>70</x:v>
      </x:c>
      <x:c r="B209" s="38" t="str">
        <x:v>第 2 年</x:v>
      </x:c>
      <x:c r="C209" s="38" t="str">
        <x:v>M05 Web 創作者：我的第一個網站</x:v>
      </x:c>
      <x:c r="D209" s="38" t="n">
        <x:v>6</x:v>
      </x:c>
      <x:c r="E209" s="38" t="str">
        <x:v>Flexbox 排版挑戰</x:v>
      </x:c>
      <x:c r="F209" s="38" t="n">
        <x:v>1</x:v>
      </x:c>
      <x:c r="G209" s="38" t="str">
        <x:v>概念入門／官方優先</x:v>
      </x:c>
      <x:c r="H209" s="38" t="str">
        <x:v>Flexbox 排版挑戰 HTML CSS JavaScript web development beginner tutorial MDN</x:v>
      </x:c>
      <x:c r="I209" s="38" t="str">
        <x:v>https://www.youtube.com/results?search_query=Flexbox+%E6%8E%92%E7%89%88%E6%8C%91%E6%88%B0+HTML+CSS+JavaScript+web+development+beginner+tutorial+MDN</x:v>
      </x:c>
      <x:c r="J209" s="38" t="str">
        <x:v>課前暖身</x:v>
      </x:c>
      <x:c r="K209" s="38" t="str">
        <x:v>5–12 分鐘</x:v>
      </x:c>
      <x:c r="L209" s="38" t="str">
        <x:v>先建立直覺；看完能說出 3 個關鍵詞</x:v>
      </x:c>
      <x:c r="M209" s="38" t="str">
        <x:v>□ 未挑選</x:v>
      </x:c>
      <x:c r="N209" s="38" t="str"/>
      <x:c r="O209" s="38" t="str"/>
    </x:row>
    <x:row r="210">
      <x:c r="A210" s="38" t="n">
        <x:v>70</x:v>
      </x:c>
      <x:c r="B210" s="38" t="str">
        <x:v>第 2 年</x:v>
      </x:c>
      <x:c r="C210" s="38" t="str">
        <x:v>M05 Web 創作者：我的第一個網站</x:v>
      </x:c>
      <x:c r="D210" s="38" t="n">
        <x:v>6</x:v>
      </x:c>
      <x:c r="E210" s="38" t="str">
        <x:v>Flexbox 排版挑戰</x:v>
      </x:c>
      <x:c r="F210" s="38" t="n">
        <x:v>2</x:v>
      </x:c>
      <x:c r="G210" s="38" t="str">
        <x:v>跟做實作／專案導向</x:v>
      </x:c>
      <x:c r="H210" s="38" t="str">
        <x:v>Flexbox 排版挑戰 使用 flex 排列、對齊與分配空間 hands on project for kids HTML CSS JavaScript web</x:v>
      </x:c>
      <x:c r="I210" s="38" t="str">
        <x:v>https://www.youtube.com/results?search_query=Flexbox+%E6%8E%92%E7%89%88%E6%8C%91%E6%88%B0+%E4%BD%BF%E7%94%A8+flex+%E6%8E%92%E5%88%97%E3%80%81%E5%B0%8D%E9%BD%8A%E8%88%87%E5%88%86%E9%85%8D%E7%A9%BA%E9%96%93+hands+on+project+for+kids+HTML+CSS+JavaScript+web+development</x:v>
      </x:c>
      <x:c r="J210" s="38" t="str">
        <x:v>課中實作參考</x:v>
      </x:c>
      <x:c r="K210" s="38" t="str">
        <x:v>8–20 分鐘</x:v>
      </x:c>
      <x:c r="L210" s="38" t="str">
        <x:v>優先找有畫面操作、步驟清楚、可暫停跟做的版本</x:v>
      </x:c>
      <x:c r="M210" s="38" t="str">
        <x:v>□ 未挑選</x:v>
      </x:c>
      <x:c r="N210" s="38" t="str"/>
      <x:c r="O210" s="38" t="str"/>
    </x:row>
    <x:row r="211">
      <x:c r="A211" s="38" t="n">
        <x:v>70</x:v>
      </x:c>
      <x:c r="B211" s="38" t="str">
        <x:v>第 2 年</x:v>
      </x:c>
      <x:c r="C211" s="38" t="str">
        <x:v>M05 Web 創作者：我的第一個網站</x:v>
      </x:c>
      <x:c r="D211" s="38" t="n">
        <x:v>6</x:v>
      </x:c>
      <x:c r="E211" s="38" t="str">
        <x:v>Flexbox 排版挑戰</x:v>
      </x:c>
      <x:c r="F211" s="38" t="n">
        <x:v>3</x:v>
      </x:c>
      <x:c r="G211" s="38" t="str">
        <x:v>中文延伸／倫理安全</x:v>
      </x:c>
      <x:c r="H211" s="38" t="str">
        <x:v>Flexbox 排版挑戰 中文 教學 原理 安全 親子 HTML CSS JavaScript web development</x:v>
      </x:c>
      <x:c r="I211" s="38" t="str">
        <x:v>https://www.youtube.com/results?search_query=Flexbox+%E6%8E%92%E7%89%88%E6%8C%91%E6%88%B0+%E4%B8%AD%E6%96%87+%E6%95%99%E5%AD%B8+%E5%8E%9F%E7%90%86+%E5%AE%89%E5%85%A8+%E8%A6%AA%E5%AD%90+HTML+CSS+JavaScript+web+development</x:v>
      </x:c>
      <x:c r="J211" s="38" t="str">
        <x:v>課後延伸／親子討論</x:v>
      </x:c>
      <x:c r="K211" s="38" t="str">
        <x:v>6–15 分鐘</x:v>
      </x:c>
      <x:c r="L211" s="38" t="str">
        <x:v>補充應用、倫理、安全或真實案例；父子各說一個觀點</x:v>
      </x:c>
      <x:c r="M211" s="38" t="str">
        <x:v>□ 未挑選</x:v>
      </x:c>
      <x:c r="N211" s="38" t="str"/>
      <x:c r="O211" s="38" t="str"/>
    </x:row>
    <x:row r="212">
      <x:c r="A212" s="38" t="n">
        <x:v>71</x:v>
      </x:c>
      <x:c r="B212" s="38" t="str">
        <x:v>第 2 年</x:v>
      </x:c>
      <x:c r="C212" s="38" t="str">
        <x:v>M05 Web 創作者：我的第一個網站</x:v>
      </x:c>
      <x:c r="D212" s="38" t="n">
        <x:v>7</x:v>
      </x:c>
      <x:c r="E212" s="38" t="str">
        <x:v>手機也要好看：Responsive</x:v>
      </x:c>
      <x:c r="F212" s="38" t="n">
        <x:v>1</x:v>
      </x:c>
      <x:c r="G212" s="38" t="str">
        <x:v>概念入門／官方優先</x:v>
      </x:c>
      <x:c r="H212" s="38" t="str">
        <x:v>手機也要好看 Responsive HTML CSS JavaScript web development beginner tutorial MDN</x:v>
      </x:c>
      <x:c r="I212" s="38" t="str">
        <x:v>https://www.youtube.com/results?search_query=%E6%89%8B%E6%A9%9F%E4%B9%9F%E8%A6%81%E5%A5%BD%E7%9C%8B+Responsive+HTML+CSS+JavaScript+web+development+beginner+tutorial+MDN</x:v>
      </x:c>
      <x:c r="J212" s="38" t="str">
        <x:v>課前暖身</x:v>
      </x:c>
      <x:c r="K212" s="38" t="str">
        <x:v>5–12 分鐘</x:v>
      </x:c>
      <x:c r="L212" s="38" t="str">
        <x:v>先建立直覺；看完能說出 3 個關鍵詞</x:v>
      </x:c>
      <x:c r="M212" s="38" t="str">
        <x:v>□ 未挑選</x:v>
      </x:c>
      <x:c r="N212" s="38" t="str"/>
      <x:c r="O212" s="38" t="str"/>
    </x:row>
    <x:row r="213">
      <x:c r="A213" s="38" t="n">
        <x:v>71</x:v>
      </x:c>
      <x:c r="B213" s="38" t="str">
        <x:v>第 2 年</x:v>
      </x:c>
      <x:c r="C213" s="38" t="str">
        <x:v>M05 Web 創作者：我的第一個網站</x:v>
      </x:c>
      <x:c r="D213" s="38" t="n">
        <x:v>7</x:v>
      </x:c>
      <x:c r="E213" s="38" t="str">
        <x:v>手機也要好看：Responsive</x:v>
      </x:c>
      <x:c r="F213" s="38" t="n">
        <x:v>2</x:v>
      </x:c>
      <x:c r="G213" s="38" t="str">
        <x:v>跟做實作／專案導向</x:v>
      </x:c>
      <x:c r="H213" s="38" t="str">
        <x:v>手機也要好看 Responsive 使用相對單位、media query 與 mobile first hands on project for kids HTML CSS</x:v>
      </x:c>
      <x:c r="I213" s="38" t="str">
        <x:v>https://www.youtube.com/results?search_query=%E6%89%8B%E6%A9%9F%E4%B9%9F%E8%A6%81%E5%A5%BD%E7%9C%8B+Responsive+%E4%BD%BF%E7%94%A8%E7%9B%B8%E5%B0%8D%E5%96%AE%E4%BD%8D%E3%80%81media+query+%E8%88%87+mobile+first+hands+on+project+for+kids+HTML+CSS+JavaScript+web+development</x:v>
      </x:c>
      <x:c r="J213" s="38" t="str">
        <x:v>課中實作參考</x:v>
      </x:c>
      <x:c r="K213" s="38" t="str">
        <x:v>8–20 分鐘</x:v>
      </x:c>
      <x:c r="L213" s="38" t="str">
        <x:v>優先找有畫面操作、步驟清楚、可暫停跟做的版本</x:v>
      </x:c>
      <x:c r="M213" s="38" t="str">
        <x:v>□ 未挑選</x:v>
      </x:c>
      <x:c r="N213" s="38" t="str"/>
      <x:c r="O213" s="38" t="str"/>
    </x:row>
    <x:row r="214">
      <x:c r="A214" s="38" t="n">
        <x:v>71</x:v>
      </x:c>
      <x:c r="B214" s="38" t="str">
        <x:v>第 2 年</x:v>
      </x:c>
      <x:c r="C214" s="38" t="str">
        <x:v>M05 Web 創作者：我的第一個網站</x:v>
      </x:c>
      <x:c r="D214" s="38" t="n">
        <x:v>7</x:v>
      </x:c>
      <x:c r="E214" s="38" t="str">
        <x:v>手機也要好看：Responsive</x:v>
      </x:c>
      <x:c r="F214" s="38" t="n">
        <x:v>3</x:v>
      </x:c>
      <x:c r="G214" s="38" t="str">
        <x:v>中文延伸／倫理安全</x:v>
      </x:c>
      <x:c r="H214" s="38" t="str">
        <x:v>手機也要好看 Responsive 中文 教學 原理 安全 親子 HTML CSS JavaScript web development</x:v>
      </x:c>
      <x:c r="I214" s="38" t="str">
        <x:v>https://www.youtube.com/results?search_query=%E6%89%8B%E6%A9%9F%E4%B9%9F%E8%A6%81%E5%A5%BD%E7%9C%8B+Responsive+%E4%B8%AD%E6%96%87+%E6%95%99%E5%AD%B8+%E5%8E%9F%E7%90%86+%E5%AE%89%E5%85%A8+%E8%A6%AA%E5%AD%90+HTML+CSS+JavaScript+web+development</x:v>
      </x:c>
      <x:c r="J214" s="38" t="str">
        <x:v>課後延伸／親子討論</x:v>
      </x:c>
      <x:c r="K214" s="38" t="str">
        <x:v>6–15 分鐘</x:v>
      </x:c>
      <x:c r="L214" s="38" t="str">
        <x:v>補充應用、倫理、安全或真實案例；父子各說一個觀點</x:v>
      </x:c>
      <x:c r="M214" s="38" t="str">
        <x:v>□ 未挑選</x:v>
      </x:c>
      <x:c r="N214" s="38" t="str"/>
      <x:c r="O214" s="38" t="str"/>
    </x:row>
    <x:row r="215">
      <x:c r="A215" s="38" t="n">
        <x:v>72</x:v>
      </x:c>
      <x:c r="B215" s="38" t="str">
        <x:v>第 2 年</x:v>
      </x:c>
      <x:c r="C215" s="38" t="str">
        <x:v>M05 Web 創作者：我的第一個網站</x:v>
      </x:c>
      <x:c r="D215" s="38" t="n">
        <x:v>8</x:v>
      </x:c>
      <x:c r="E215" s="38" t="str">
        <x:v>可及性：不是每個人都一樣使用網頁</x:v>
      </x:c>
      <x:c r="F215" s="38" t="n">
        <x:v>1</x:v>
      </x:c>
      <x:c r="G215" s="38" t="str">
        <x:v>概念入門／官方優先</x:v>
      </x:c>
      <x:c r="H215" s="38" t="str">
        <x:v>可及性 不是每個人都一樣使用網頁 HTML CSS JavaScript web development beginner tutorial MDN</x:v>
      </x:c>
      <x:c r="I215" s="38" t="str">
        <x:v>https://www.youtube.com/results?search_query=%E5%8F%AF%E5%8F%8A%E6%80%A7+%E4%B8%8D%E6%98%AF%E6%AF%8F%E5%80%8B%E4%BA%BA%E9%83%BD%E4%B8%80%E6%A8%A3%E4%BD%BF%E7%94%A8%E7%B6%B2%E9%A0%81+HTML+CSS+JavaScript+web+development+beginner+tutorial+MDN</x:v>
      </x:c>
      <x:c r="J215" s="38" t="str">
        <x:v>課前暖身</x:v>
      </x:c>
      <x:c r="K215" s="38" t="str">
        <x:v>5–12 分鐘</x:v>
      </x:c>
      <x:c r="L215" s="38" t="str">
        <x:v>先建立直覺；看完能說出 3 個關鍵詞</x:v>
      </x:c>
      <x:c r="M215" s="38" t="str">
        <x:v>□ 未挑選</x:v>
      </x:c>
      <x:c r="N215" s="38" t="str"/>
      <x:c r="O215" s="38" t="str"/>
    </x:row>
    <x:row r="216">
      <x:c r="A216" s="38" t="n">
        <x:v>72</x:v>
      </x:c>
      <x:c r="B216" s="38" t="str">
        <x:v>第 2 年</x:v>
      </x:c>
      <x:c r="C216" s="38" t="str">
        <x:v>M05 Web 創作者：我的第一個網站</x:v>
      </x:c>
      <x:c r="D216" s="38" t="n">
        <x:v>8</x:v>
      </x:c>
      <x:c r="E216" s="38" t="str">
        <x:v>可及性：不是每個人都一樣使用網頁</x:v>
      </x:c>
      <x:c r="F216" s="38" t="n">
        <x:v>2</x:v>
      </x:c>
      <x:c r="G216" s="38" t="str">
        <x:v>跟做實作／專案導向</x:v>
      </x:c>
      <x:c r="H216" s="38" t="str">
        <x:v>可及性 不是每個人都一樣使用網頁 理解語意、鍵盤操作、對比、alt 與標籤 hands on project for kids HTML CSS JavaScript web development</x:v>
      </x:c>
      <x:c r="I216" s="38" t="str">
        <x:v>https://www.youtube.com/results?search_query=%E5%8F%AF%E5%8F%8A%E6%80%A7+%E4%B8%8D%E6%98%AF%E6%AF%8F%E5%80%8B%E4%BA%BA%E9%83%BD%E4%B8%80%E6%A8%A3%E4%BD%BF%E7%94%A8%E7%B6%B2%E9%A0%81+%E7%90%86%E8%A7%A3%E8%AA%9E%E6%84%8F%E3%80%81%E9%8D%B5%E7%9B%A4%E6%93%8D%E4%BD%9C%E3%80%81%E5%B0%8D%E6%AF%94%E3%80%81alt+%E8%88%87%E6%A8%99%E7%B1%A4+hands+on+project+for+kids+HTML+CSS+JavaScript+web+development</x:v>
      </x:c>
      <x:c r="J216" s="38" t="str">
        <x:v>課中實作參考</x:v>
      </x:c>
      <x:c r="K216" s="38" t="str">
        <x:v>8–20 分鐘</x:v>
      </x:c>
      <x:c r="L216" s="38" t="str">
        <x:v>優先找有畫面操作、步驟清楚、可暫停跟做的版本</x:v>
      </x:c>
      <x:c r="M216" s="38" t="str">
        <x:v>□ 未挑選</x:v>
      </x:c>
      <x:c r="N216" s="38" t="str"/>
      <x:c r="O216" s="38" t="str"/>
    </x:row>
    <x:row r="217">
      <x:c r="A217" s="38" t="n">
        <x:v>72</x:v>
      </x:c>
      <x:c r="B217" s="38" t="str">
        <x:v>第 2 年</x:v>
      </x:c>
      <x:c r="C217" s="38" t="str">
        <x:v>M05 Web 創作者：我的第一個網站</x:v>
      </x:c>
      <x:c r="D217" s="38" t="n">
        <x:v>8</x:v>
      </x:c>
      <x:c r="E217" s="38" t="str">
        <x:v>可及性：不是每個人都一樣使用網頁</x:v>
      </x:c>
      <x:c r="F217" s="38" t="n">
        <x:v>3</x:v>
      </x:c>
      <x:c r="G217" s="38" t="str">
        <x:v>中文延伸／倫理安全</x:v>
      </x:c>
      <x:c r="H217" s="38" t="str">
        <x:v>可及性 不是每個人都一樣使用網頁 中文 教學 原理 安全 親子 HTML CSS JavaScript web development</x:v>
      </x:c>
      <x:c r="I217" s="38" t="str">
        <x:v>https://www.youtube.com/results?search_query=%E5%8F%AF%E5%8F%8A%E6%80%A7+%E4%B8%8D%E6%98%AF%E6%AF%8F%E5%80%8B%E4%BA%BA%E9%83%BD%E4%B8%80%E6%A8%A3%E4%BD%BF%E7%94%A8%E7%B6%B2%E9%A0%81+%E4%B8%AD%E6%96%87+%E6%95%99%E5%AD%B8+%E5%8E%9F%E7%90%86+%E5%AE%89%E5%85%A8+%E8%A6%AA%E5%AD%90+HTML+CSS+JavaScript+web+development</x:v>
      </x:c>
      <x:c r="J217" s="38" t="str">
        <x:v>課後延伸／親子討論</x:v>
      </x:c>
      <x:c r="K217" s="38" t="str">
        <x:v>6–15 分鐘</x:v>
      </x:c>
      <x:c r="L217" s="38" t="str">
        <x:v>補充應用、倫理、安全或真實案例；父子各說一個觀點</x:v>
      </x:c>
      <x:c r="M217" s="38" t="str">
        <x:v>□ 未挑選</x:v>
      </x:c>
      <x:c r="N217" s="38" t="str"/>
      <x:c r="O217" s="38" t="str"/>
    </x:row>
    <x:row r="218">
      <x:c r="A218" s="38" t="n">
        <x:v>73</x:v>
      </x:c>
      <x:c r="B218" s="38" t="str">
        <x:v>第 2 年</x:v>
      </x:c>
      <x:c r="C218" s="38" t="str">
        <x:v>M05 Web 創作者：我的第一個網站</x:v>
      </x:c>
      <x:c r="D218" s="38" t="n">
        <x:v>9</x:v>
      </x:c>
      <x:c r="E218" s="38" t="str">
        <x:v>JavaScript 第一個互動</x:v>
      </x:c>
      <x:c r="F218" s="38" t="n">
        <x:v>1</x:v>
      </x:c>
      <x:c r="G218" s="38" t="str">
        <x:v>概念入門／官方優先</x:v>
      </x:c>
      <x:c r="H218" s="38" t="str">
        <x:v>JavaScript 第一個互動 HTML CSS JavaScript web development beginner tutorial MDN</x:v>
      </x:c>
      <x:c r="I218" s="38" t="str">
        <x:v>https://www.youtube.com/results?search_query=JavaScript+%E7%AC%AC%E4%B8%80%E5%80%8B%E4%BA%92%E5%8B%95+HTML+CSS+JavaScript+web+development+beginner+tutorial+MDN</x:v>
      </x:c>
      <x:c r="J218" s="38" t="str">
        <x:v>課前暖身</x:v>
      </x:c>
      <x:c r="K218" s="38" t="str">
        <x:v>5–12 分鐘</x:v>
      </x:c>
      <x:c r="L218" s="38" t="str">
        <x:v>先建立直覺；看完能說出 3 個關鍵詞</x:v>
      </x:c>
      <x:c r="M218" s="38" t="str">
        <x:v>□ 未挑選</x:v>
      </x:c>
      <x:c r="N218" s="38" t="str"/>
      <x:c r="O218" s="38" t="str"/>
    </x:row>
    <x:row r="219">
      <x:c r="A219" s="38" t="n">
        <x:v>73</x:v>
      </x:c>
      <x:c r="B219" s="38" t="str">
        <x:v>第 2 年</x:v>
      </x:c>
      <x:c r="C219" s="38" t="str">
        <x:v>M05 Web 創作者：我的第一個網站</x:v>
      </x:c>
      <x:c r="D219" s="38" t="n">
        <x:v>9</x:v>
      </x:c>
      <x:c r="E219" s="38" t="str">
        <x:v>JavaScript 第一個互動</x:v>
      </x:c>
      <x:c r="F219" s="38" t="n">
        <x:v>2</x:v>
      </x:c>
      <x:c r="G219" s="38" t="str">
        <x:v>跟做實作／專案導向</x:v>
      </x:c>
      <x:c r="H219" s="38" t="str">
        <x:v>JavaScript 第一個互動 理解變數、事件與瀏覽器中的程式 hands on project for kids HTML CSS JavaScript web development</x:v>
      </x:c>
      <x:c r="I219" s="38" t="str">
        <x:v>https://www.youtube.com/results?search_query=JavaScript+%E7%AC%AC%E4%B8%80%E5%80%8B%E4%BA%92%E5%8B%95+%E7%90%86%E8%A7%A3%E8%AE%8A%E6%95%B8%E3%80%81%E4%BA%8B%E4%BB%B6%E8%88%87%E7%80%8F%E8%A6%BD%E5%99%A8%E4%B8%AD%E7%9A%84%E7%A8%8B%E5%BC%8F+hands+on+project+for+kids+HTML+CSS+JavaScript+web+development</x:v>
      </x:c>
      <x:c r="J219" s="38" t="str">
        <x:v>課中實作參考</x:v>
      </x:c>
      <x:c r="K219" s="38" t="str">
        <x:v>8–20 分鐘</x:v>
      </x:c>
      <x:c r="L219" s="38" t="str">
        <x:v>優先找有畫面操作、步驟清楚、可暫停跟做的版本</x:v>
      </x:c>
      <x:c r="M219" s="38" t="str">
        <x:v>□ 未挑選</x:v>
      </x:c>
      <x:c r="N219" s="38" t="str"/>
      <x:c r="O219" s="38" t="str"/>
    </x:row>
    <x:row r="220">
      <x:c r="A220" s="38" t="n">
        <x:v>73</x:v>
      </x:c>
      <x:c r="B220" s="38" t="str">
        <x:v>第 2 年</x:v>
      </x:c>
      <x:c r="C220" s="38" t="str">
        <x:v>M05 Web 創作者：我的第一個網站</x:v>
      </x:c>
      <x:c r="D220" s="38" t="n">
        <x:v>9</x:v>
      </x:c>
      <x:c r="E220" s="38" t="str">
        <x:v>JavaScript 第一個互動</x:v>
      </x:c>
      <x:c r="F220" s="38" t="n">
        <x:v>3</x:v>
      </x:c>
      <x:c r="G220" s="38" t="str">
        <x:v>中文延伸／倫理安全</x:v>
      </x:c>
      <x:c r="H220" s="38" t="str">
        <x:v>JavaScript 第一個互動 中文 教學 原理 安全 親子 HTML CSS JavaScript web development</x:v>
      </x:c>
      <x:c r="I220" s="38" t="str">
        <x:v>https://www.youtube.com/results?search_query=JavaScript+%E7%AC%AC%E4%B8%80%E5%80%8B%E4%BA%92%E5%8B%95+%E4%B8%AD%E6%96%87+%E6%95%99%E5%AD%B8+%E5%8E%9F%E7%90%86+%E5%AE%89%E5%85%A8+%E8%A6%AA%E5%AD%90+HTML+CSS+JavaScript+web+development</x:v>
      </x:c>
      <x:c r="J220" s="38" t="str">
        <x:v>課後延伸／親子討論</x:v>
      </x:c>
      <x:c r="K220" s="38" t="str">
        <x:v>6–15 分鐘</x:v>
      </x:c>
      <x:c r="L220" s="38" t="str">
        <x:v>補充應用、倫理、安全或真實案例；父子各說一個觀點</x:v>
      </x:c>
      <x:c r="M220" s="38" t="str">
        <x:v>□ 未挑選</x:v>
      </x:c>
      <x:c r="N220" s="38" t="str"/>
      <x:c r="O220" s="38" t="str"/>
    </x:row>
    <x:row r="221">
      <x:c r="A221" s="38" t="n">
        <x:v>74</x:v>
      </x:c>
      <x:c r="B221" s="38" t="str">
        <x:v>第 2 年</x:v>
      </x:c>
      <x:c r="C221" s="38" t="str">
        <x:v>M05 Web 創作者：我的第一個網站</x:v>
      </x:c>
      <x:c r="D221" s="38" t="n">
        <x:v>10</x:v>
      </x:c>
      <x:c r="E221" s="38" t="str">
        <x:v>DOM：程式如何改網頁</x:v>
      </x:c>
      <x:c r="F221" s="38" t="n">
        <x:v>1</x:v>
      </x:c>
      <x:c r="G221" s="38" t="str">
        <x:v>概念入門／官方優先</x:v>
      </x:c>
      <x:c r="H221" s="38" t="str">
        <x:v>DOM 程式如何改網頁 HTML CSS JavaScript web development beginner tutorial MDN</x:v>
      </x:c>
      <x:c r="I221" s="38" t="str">
        <x:v>https://www.youtube.com/results?search_query=DOM+%E7%A8%8B%E5%BC%8F%E5%A6%82%E4%BD%95%E6%94%B9%E7%B6%B2%E9%A0%81+HTML+CSS+JavaScript+web+development+beginner+tutorial+MDN</x:v>
      </x:c>
      <x:c r="J221" s="38" t="str">
        <x:v>課前暖身</x:v>
      </x:c>
      <x:c r="K221" s="38" t="str">
        <x:v>5–12 分鐘</x:v>
      </x:c>
      <x:c r="L221" s="38" t="str">
        <x:v>先建立直覺；看完能說出 3 個關鍵詞</x:v>
      </x:c>
      <x:c r="M221" s="38" t="str">
        <x:v>□ 未挑選</x:v>
      </x:c>
      <x:c r="N221" s="38" t="str"/>
      <x:c r="O221" s="38" t="str"/>
    </x:row>
    <x:row r="222">
      <x:c r="A222" s="38" t="n">
        <x:v>74</x:v>
      </x:c>
      <x:c r="B222" s="38" t="str">
        <x:v>第 2 年</x:v>
      </x:c>
      <x:c r="C222" s="38" t="str">
        <x:v>M05 Web 創作者：我的第一個網站</x:v>
      </x:c>
      <x:c r="D222" s="38" t="n">
        <x:v>10</x:v>
      </x:c>
      <x:c r="E222" s="38" t="str">
        <x:v>DOM：程式如何改網頁</x:v>
      </x:c>
      <x:c r="F222" s="38" t="n">
        <x:v>2</x:v>
      </x:c>
      <x:c r="G222" s="38" t="str">
        <x:v>跟做實作／專案導向</x:v>
      </x:c>
      <x:c r="H222" s="38" t="str">
        <x:v>DOM 程式如何改網頁 選取、建立、修改與刪除元素 hands on project for kids HTML CSS JavaScript web development</x:v>
      </x:c>
      <x:c r="I222" s="38" t="str">
        <x:v>https://www.youtube.com/results?search_query=DOM+%E7%A8%8B%E5%BC%8F%E5%A6%82%E4%BD%95%E6%94%B9%E7%B6%B2%E9%A0%81+%E9%81%B8%E5%8F%96%E3%80%81%E5%BB%BA%E7%AB%8B%E3%80%81%E4%BF%AE%E6%94%B9%E8%88%87%E5%88%AA%E9%99%A4%E5%85%83%E7%B4%A0+hands+on+project+for+kids+HTML+CSS+JavaScript+web+development</x:v>
      </x:c>
      <x:c r="J222" s="38" t="str">
        <x:v>課中實作參考</x:v>
      </x:c>
      <x:c r="K222" s="38" t="str">
        <x:v>8–20 分鐘</x:v>
      </x:c>
      <x:c r="L222" s="38" t="str">
        <x:v>優先找有畫面操作、步驟清楚、可暫停跟做的版本</x:v>
      </x:c>
      <x:c r="M222" s="38" t="str">
        <x:v>□ 未挑選</x:v>
      </x:c>
      <x:c r="N222" s="38" t="str"/>
      <x:c r="O222" s="38" t="str"/>
    </x:row>
    <x:row r="223">
      <x:c r="A223" s="38" t="n">
        <x:v>74</x:v>
      </x:c>
      <x:c r="B223" s="38" t="str">
        <x:v>第 2 年</x:v>
      </x:c>
      <x:c r="C223" s="38" t="str">
        <x:v>M05 Web 創作者：我的第一個網站</x:v>
      </x:c>
      <x:c r="D223" s="38" t="n">
        <x:v>10</x:v>
      </x:c>
      <x:c r="E223" s="38" t="str">
        <x:v>DOM：程式如何改網頁</x:v>
      </x:c>
      <x:c r="F223" s="38" t="n">
        <x:v>3</x:v>
      </x:c>
      <x:c r="G223" s="38" t="str">
        <x:v>中文延伸／倫理安全</x:v>
      </x:c>
      <x:c r="H223" s="38" t="str">
        <x:v>DOM 程式如何改網頁 中文 教學 原理 安全 親子 HTML CSS JavaScript web development</x:v>
      </x:c>
      <x:c r="I223" s="38" t="str">
        <x:v>https://www.youtube.com/results?search_query=DOM+%E7%A8%8B%E5%BC%8F%E5%A6%82%E4%BD%95%E6%94%B9%E7%B6%B2%E9%A0%81+%E4%B8%AD%E6%96%87+%E6%95%99%E5%AD%B8+%E5%8E%9F%E7%90%86+%E5%AE%89%E5%85%A8+%E8%A6%AA%E5%AD%90+HTML+CSS+JavaScript+web+development</x:v>
      </x:c>
      <x:c r="J223" s="38" t="str">
        <x:v>課後延伸／親子討論</x:v>
      </x:c>
      <x:c r="K223" s="38" t="str">
        <x:v>6–15 分鐘</x:v>
      </x:c>
      <x:c r="L223" s="38" t="str">
        <x:v>補充應用、倫理、安全或真實案例；父子各說一個觀點</x:v>
      </x:c>
      <x:c r="M223" s="38" t="str">
        <x:v>□ 未挑選</x:v>
      </x:c>
      <x:c r="N223" s="38" t="str"/>
      <x:c r="O223" s="38" t="str"/>
    </x:row>
    <x:row r="224">
      <x:c r="A224" s="38" t="n">
        <x:v>75</x:v>
      </x:c>
      <x:c r="B224" s="38" t="str">
        <x:v>第 2 年</x:v>
      </x:c>
      <x:c r="C224" s="38" t="str">
        <x:v>M05 Web 創作者：我的第一個網站</x:v>
      </x:c>
      <x:c r="D224" s="38" t="n">
        <x:v>11</x:v>
      </x:c>
      <x:c r="E224" s="38" t="str">
        <x:v>表單與輸入驗證</x:v>
      </x:c>
      <x:c r="F224" s="38" t="n">
        <x:v>1</x:v>
      </x:c>
      <x:c r="G224" s="38" t="str">
        <x:v>概念入門／官方優先</x:v>
      </x:c>
      <x:c r="H224" s="38" t="str">
        <x:v>表單與輸入驗證 HTML CSS JavaScript web development beginner tutorial MDN</x:v>
      </x:c>
      <x:c r="I224" s="38" t="str">
        <x:v>https://www.youtube.com/results?search_query=%E8%A1%A8%E5%96%AE%E8%88%87%E8%BC%B8%E5%85%A5%E9%A9%97%E8%AD%89+HTML+CSS+JavaScript+web+development+beginner+tutorial+MDN</x:v>
      </x:c>
      <x:c r="J224" s="38" t="str">
        <x:v>課前暖身</x:v>
      </x:c>
      <x:c r="K224" s="38" t="str">
        <x:v>5–12 分鐘</x:v>
      </x:c>
      <x:c r="L224" s="38" t="str">
        <x:v>先建立直覺；看完能說出 3 個關鍵詞</x:v>
      </x:c>
      <x:c r="M224" s="38" t="str">
        <x:v>□ 未挑選</x:v>
      </x:c>
      <x:c r="N224" s="38" t="str"/>
      <x:c r="O224" s="38" t="str"/>
    </x:row>
    <x:row r="225">
      <x:c r="A225" s="38" t="n">
        <x:v>75</x:v>
      </x:c>
      <x:c r="B225" s="38" t="str">
        <x:v>第 2 年</x:v>
      </x:c>
      <x:c r="C225" s="38" t="str">
        <x:v>M05 Web 創作者：我的第一個網站</x:v>
      </x:c>
      <x:c r="D225" s="38" t="n">
        <x:v>11</x:v>
      </x:c>
      <x:c r="E225" s="38" t="str">
        <x:v>表單與輸入驗證</x:v>
      </x:c>
      <x:c r="F225" s="38" t="n">
        <x:v>2</x:v>
      </x:c>
      <x:c r="G225" s="38" t="str">
        <x:v>跟做實作／專案導向</x:v>
      </x:c>
      <x:c r="H225" s="38" t="str">
        <x:v>表單與輸入驗證 取得文字、選項、數字並檢查合理性 hands on project for kids HTML CSS JavaScript web development</x:v>
      </x:c>
      <x:c r="I225" s="38" t="str">
        <x:v>https://www.youtube.com/results?search_query=%E8%A1%A8%E5%96%AE%E8%88%87%E8%BC%B8%E5%85%A5%E9%A9%97%E8%AD%89+%E5%8F%96%E5%BE%97%E6%96%87%E5%AD%97%E3%80%81%E9%81%B8%E9%A0%85%E3%80%81%E6%95%B8%E5%AD%97%E4%B8%A6%E6%AA%A2%E6%9F%A5%E5%90%88%E7%90%86%E6%80%A7+hands+on+project+for+kids+HTML+CSS+JavaScript+web+development</x:v>
      </x:c>
      <x:c r="J225" s="38" t="str">
        <x:v>課中實作參考</x:v>
      </x:c>
      <x:c r="K225" s="38" t="str">
        <x:v>8–20 分鐘</x:v>
      </x:c>
      <x:c r="L225" s="38" t="str">
        <x:v>優先找有畫面操作、步驟清楚、可暫停跟做的版本</x:v>
      </x:c>
      <x:c r="M225" s="38" t="str">
        <x:v>□ 未挑選</x:v>
      </x:c>
      <x:c r="N225" s="38" t="str"/>
      <x:c r="O225" s="38" t="str"/>
    </x:row>
    <x:row r="226">
      <x:c r="A226" s="38" t="n">
        <x:v>75</x:v>
      </x:c>
      <x:c r="B226" s="38" t="str">
        <x:v>第 2 年</x:v>
      </x:c>
      <x:c r="C226" s="38" t="str">
        <x:v>M05 Web 創作者：我的第一個網站</x:v>
      </x:c>
      <x:c r="D226" s="38" t="n">
        <x:v>11</x:v>
      </x:c>
      <x:c r="E226" s="38" t="str">
        <x:v>表單與輸入驗證</x:v>
      </x:c>
      <x:c r="F226" s="38" t="n">
        <x:v>3</x:v>
      </x:c>
      <x:c r="G226" s="38" t="str">
        <x:v>中文延伸／倫理安全</x:v>
      </x:c>
      <x:c r="H226" s="38" t="str">
        <x:v>表單與輸入驗證 中文 教學 原理 安全 親子 HTML CSS JavaScript web development</x:v>
      </x:c>
      <x:c r="I226" s="38" t="str">
        <x:v>https://www.youtube.com/results?search_query=%E8%A1%A8%E5%96%AE%E8%88%87%E8%BC%B8%E5%85%A5%E9%A9%97%E8%AD%89+%E4%B8%AD%E6%96%87+%E6%95%99%E5%AD%B8+%E5%8E%9F%E7%90%86+%E5%AE%89%E5%85%A8+%E8%A6%AA%E5%AD%90+HTML+CSS+JavaScript+web+development</x:v>
      </x:c>
      <x:c r="J226" s="38" t="str">
        <x:v>課後延伸／親子討論</x:v>
      </x:c>
      <x:c r="K226" s="38" t="str">
        <x:v>6–15 分鐘</x:v>
      </x:c>
      <x:c r="L226" s="38" t="str">
        <x:v>補充應用、倫理、安全或真實案例；父子各說一個觀點</x:v>
      </x:c>
      <x:c r="M226" s="38" t="str">
        <x:v>□ 未挑選</x:v>
      </x:c>
      <x:c r="N226" s="38" t="str"/>
      <x:c r="O226" s="38" t="str"/>
    </x:row>
    <x:row r="227">
      <x:c r="A227" s="38" t="n">
        <x:v>76</x:v>
      </x:c>
      <x:c r="B227" s="38" t="str">
        <x:v>第 2 年</x:v>
      </x:c>
      <x:c r="C227" s="38" t="str">
        <x:v>M05 Web 創作者：我的第一個網站</x:v>
      </x:c>
      <x:c r="D227" s="38" t="n">
        <x:v>12</x:v>
      </x:c>
      <x:c r="E227" s="38" t="str">
        <x:v>Local Storage：讓瀏覽器記得</x:v>
      </x:c>
      <x:c r="F227" s="38" t="n">
        <x:v>1</x:v>
      </x:c>
      <x:c r="G227" s="38" t="str">
        <x:v>概念入門／官方優先</x:v>
      </x:c>
      <x:c r="H227" s="38" t="str">
        <x:v>Local Storage 讓瀏覽器記得 HTML CSS JavaScript web development beginner tutorial MDN</x:v>
      </x:c>
      <x:c r="I227" s="38" t="str">
        <x:v>https://www.youtube.com/results?search_query=Local+Storage+%E8%AE%93%E7%80%8F%E8%A6%BD%E5%99%A8%E8%A8%98%E5%BE%97+HTML+CSS+JavaScript+web+development+beginner+tutorial+MDN</x:v>
      </x:c>
      <x:c r="J227" s="38" t="str">
        <x:v>課前暖身</x:v>
      </x:c>
      <x:c r="K227" s="38" t="str">
        <x:v>5–12 分鐘</x:v>
      </x:c>
      <x:c r="L227" s="38" t="str">
        <x:v>先建立直覺；看完能說出 3 個關鍵詞</x:v>
      </x:c>
      <x:c r="M227" s="38" t="str">
        <x:v>□ 未挑選</x:v>
      </x:c>
      <x:c r="N227" s="38" t="str"/>
      <x:c r="O227" s="38" t="str"/>
    </x:row>
    <x:row r="228">
      <x:c r="A228" s="38" t="n">
        <x:v>76</x:v>
      </x:c>
      <x:c r="B228" s="38" t="str">
        <x:v>第 2 年</x:v>
      </x:c>
      <x:c r="C228" s="38" t="str">
        <x:v>M05 Web 創作者：我的第一個網站</x:v>
      </x:c>
      <x:c r="D228" s="38" t="n">
        <x:v>12</x:v>
      </x:c>
      <x:c r="E228" s="38" t="str">
        <x:v>Local Storage：讓瀏覽器記得</x:v>
      </x:c>
      <x:c r="F228" s="38" t="n">
        <x:v>2</x:v>
      </x:c>
      <x:c r="G228" s="38" t="str">
        <x:v>跟做實作／專案導向</x:v>
      </x:c>
      <x:c r="H228" s="38" t="str">
        <x:v>Local Storage 讓瀏覽器記得 在本機保存偏好與簡單資料 hands on project for kids HTML CSS JavaScript web development</x:v>
      </x:c>
      <x:c r="I228" s="38" t="str">
        <x:v>https://www.youtube.com/results?search_query=Local+Storage+%E8%AE%93%E7%80%8F%E8%A6%BD%E5%99%A8%E8%A8%98%E5%BE%97+%E5%9C%A8%E6%9C%AC%E6%A9%9F%E4%BF%9D%E5%AD%98%E5%81%8F%E5%A5%BD%E8%88%87%E7%B0%A1%E5%96%AE%E8%B3%87%E6%96%99+hands+on+project+for+kids+HTML+CSS+JavaScript+web+development</x:v>
      </x:c>
      <x:c r="J228" s="38" t="str">
        <x:v>課中實作參考</x:v>
      </x:c>
      <x:c r="K228" s="38" t="str">
        <x:v>8–20 分鐘</x:v>
      </x:c>
      <x:c r="L228" s="38" t="str">
        <x:v>優先找有畫面操作、步驟清楚、可暫停跟做的版本</x:v>
      </x:c>
      <x:c r="M228" s="38" t="str">
        <x:v>□ 未挑選</x:v>
      </x:c>
      <x:c r="N228" s="38" t="str"/>
      <x:c r="O228" s="38" t="str"/>
    </x:row>
    <x:row r="229">
      <x:c r="A229" s="38" t="n">
        <x:v>76</x:v>
      </x:c>
      <x:c r="B229" s="38" t="str">
        <x:v>第 2 年</x:v>
      </x:c>
      <x:c r="C229" s="38" t="str">
        <x:v>M05 Web 創作者：我的第一個網站</x:v>
      </x:c>
      <x:c r="D229" s="38" t="n">
        <x:v>12</x:v>
      </x:c>
      <x:c r="E229" s="38" t="str">
        <x:v>Local Storage：讓瀏覽器記得</x:v>
      </x:c>
      <x:c r="F229" s="38" t="n">
        <x:v>3</x:v>
      </x:c>
      <x:c r="G229" s="38" t="str">
        <x:v>中文延伸／倫理安全</x:v>
      </x:c>
      <x:c r="H229" s="38" t="str">
        <x:v>Local Storage 讓瀏覽器記得 中文 教學 原理 安全 親子 HTML CSS JavaScript web development</x:v>
      </x:c>
      <x:c r="I229" s="38" t="str">
        <x:v>https://www.youtube.com/results?search_query=Local+Storage+%E8%AE%93%E7%80%8F%E8%A6%BD%E5%99%A8%E8%A8%98%E5%BE%97+%E4%B8%AD%E6%96%87+%E6%95%99%E5%AD%B8+%E5%8E%9F%E7%90%86+%E5%AE%89%E5%85%A8+%E8%A6%AA%E5%AD%90+HTML+CSS+JavaScript+web+development</x:v>
      </x:c>
      <x:c r="J229" s="38" t="str">
        <x:v>課後延伸／親子討論</x:v>
      </x:c>
      <x:c r="K229" s="38" t="str">
        <x:v>6–15 分鐘</x:v>
      </x:c>
      <x:c r="L229" s="38" t="str">
        <x:v>補充應用、倫理、安全或真實案例；父子各說一個觀點</x:v>
      </x:c>
      <x:c r="M229" s="38" t="str">
        <x:v>□ 未挑選</x:v>
      </x:c>
      <x:c r="N229" s="38" t="str"/>
      <x:c r="O229" s="38" t="str"/>
    </x:row>
    <x:row r="230">
      <x:c r="A230" s="38" t="n">
        <x:v>77</x:v>
      </x:c>
      <x:c r="B230" s="38" t="str">
        <x:v>第 2 年</x:v>
      </x:c>
      <x:c r="C230" s="38" t="str">
        <x:v>M05 Web 創作者：我的第一個網站</x:v>
      </x:c>
      <x:c r="D230" s="38" t="n">
        <x:v>13</x:v>
      </x:c>
      <x:c r="E230" s="38" t="str">
        <x:v>網站企劃：個人科技博物館</x:v>
      </x:c>
      <x:c r="F230" s="38" t="n">
        <x:v>1</x:v>
      </x:c>
      <x:c r="G230" s="38" t="str">
        <x:v>概念入門／官方優先</x:v>
      </x:c>
      <x:c r="H230" s="38" t="str">
        <x:v>網站企劃 個人科技博物館 HTML CSS JavaScript web development beginner tutorial MDN</x:v>
      </x:c>
      <x:c r="I230" s="38" t="str">
        <x:v>https://www.youtube.com/results?search_query=%E7%B6%B2%E7%AB%99%E4%BC%81%E5%8A%83+%E5%80%8B%E4%BA%BA%E7%A7%91%E6%8A%80%E5%8D%9A%E7%89%A9%E9%A4%A8+HTML+CSS+JavaScript+web+development+beginner+tutorial+MDN</x:v>
      </x:c>
      <x:c r="J230" s="38" t="str">
        <x:v>課前暖身</x:v>
      </x:c>
      <x:c r="K230" s="38" t="str">
        <x:v>5–12 分鐘</x:v>
      </x:c>
      <x:c r="L230" s="38" t="str">
        <x:v>先建立直覺；看完能說出 3 個關鍵詞</x:v>
      </x:c>
      <x:c r="M230" s="38" t="str">
        <x:v>□ 未挑選</x:v>
      </x:c>
      <x:c r="N230" s="38" t="str"/>
      <x:c r="O230" s="38" t="str"/>
    </x:row>
    <x:row r="231">
      <x:c r="A231" s="38" t="n">
        <x:v>77</x:v>
      </x:c>
      <x:c r="B231" s="38" t="str">
        <x:v>第 2 年</x:v>
      </x:c>
      <x:c r="C231" s="38" t="str">
        <x:v>M05 Web 創作者：我的第一個網站</x:v>
      </x:c>
      <x:c r="D231" s="38" t="n">
        <x:v>13</x:v>
      </x:c>
      <x:c r="E231" s="38" t="str">
        <x:v>網站企劃：個人科技博物館</x:v>
      </x:c>
      <x:c r="F231" s="38" t="n">
        <x:v>2</x:v>
      </x:c>
      <x:c r="G231" s="38" t="str">
        <x:v>跟做實作／專案導向</x:v>
      </x:c>
      <x:c r="H231" s="38" t="str">
        <x:v>網站企劃 個人科技博物館 定義觀眾、內容架構、視覺與核心互動 hands on project for kids HTML CSS JavaScript web development</x:v>
      </x:c>
      <x:c r="I231" s="38" t="str">
        <x:v>https://www.youtube.com/results?search_query=%E7%B6%B2%E7%AB%99%E4%BC%81%E5%8A%83+%E5%80%8B%E4%BA%BA%E7%A7%91%E6%8A%80%E5%8D%9A%E7%89%A9%E9%A4%A8+%E5%AE%9A%E7%BE%A9%E8%A7%80%E7%9C%BE%E3%80%81%E5%85%A7%E5%AE%B9%E6%9E%B6%E6%A7%8B%E3%80%81%E8%A6%96%E8%A6%BA%E8%88%87%E6%A0%B8%E5%BF%83%E4%BA%92%E5%8B%95+hands+on+project+for+kids+HTML+CSS+JavaScript+web+development</x:v>
      </x:c>
      <x:c r="J231" s="38" t="str">
        <x:v>課中實作參考</x:v>
      </x:c>
      <x:c r="K231" s="38" t="str">
        <x:v>8–20 分鐘</x:v>
      </x:c>
      <x:c r="L231" s="38" t="str">
        <x:v>優先找有畫面操作、步驟清楚、可暫停跟做的版本</x:v>
      </x:c>
      <x:c r="M231" s="38" t="str">
        <x:v>□ 未挑選</x:v>
      </x:c>
      <x:c r="N231" s="38" t="str"/>
      <x:c r="O231" s="38" t="str"/>
    </x:row>
    <x:row r="232">
      <x:c r="A232" s="38" t="n">
        <x:v>77</x:v>
      </x:c>
      <x:c r="B232" s="38" t="str">
        <x:v>第 2 年</x:v>
      </x:c>
      <x:c r="C232" s="38" t="str">
        <x:v>M05 Web 創作者：我的第一個網站</x:v>
      </x:c>
      <x:c r="D232" s="38" t="n">
        <x:v>13</x:v>
      </x:c>
      <x:c r="E232" s="38" t="str">
        <x:v>網站企劃：個人科技博物館</x:v>
      </x:c>
      <x:c r="F232" s="38" t="n">
        <x:v>3</x:v>
      </x:c>
      <x:c r="G232" s="38" t="str">
        <x:v>中文延伸／倫理安全</x:v>
      </x:c>
      <x:c r="H232" s="38" t="str">
        <x:v>網站企劃 個人科技博物館 中文 教學 原理 安全 親子 HTML CSS JavaScript web development</x:v>
      </x:c>
      <x:c r="I232" s="38" t="str">
        <x:v>https://www.youtube.com/results?search_query=%E7%B6%B2%E7%AB%99%E4%BC%81%E5%8A%83+%E5%80%8B%E4%BA%BA%E7%A7%91%E6%8A%80%E5%8D%9A%E7%89%A9%E9%A4%A8+%E4%B8%AD%E6%96%87+%E6%95%99%E5%AD%B8+%E5%8E%9F%E7%90%86+%E5%AE%89%E5%85%A8+%E8%A6%AA%E5%AD%90+HTML+CSS+JavaScript+web+development</x:v>
      </x:c>
      <x:c r="J232" s="38" t="str">
        <x:v>課後延伸／親子討論</x:v>
      </x:c>
      <x:c r="K232" s="38" t="str">
        <x:v>6–15 分鐘</x:v>
      </x:c>
      <x:c r="L232" s="38" t="str">
        <x:v>補充應用、倫理、安全或真實案例；父子各說一個觀點</x:v>
      </x:c>
      <x:c r="M232" s="38" t="str">
        <x:v>□ 未挑選</x:v>
      </x:c>
      <x:c r="N232" s="38" t="str"/>
      <x:c r="O232" s="38" t="str"/>
    </x:row>
    <x:row r="233">
      <x:c r="A233" s="38" t="n">
        <x:v>78</x:v>
      </x:c>
      <x:c r="B233" s="38" t="str">
        <x:v>第 2 年</x:v>
      </x:c>
      <x:c r="C233" s="38" t="str">
        <x:v>M05 Web 創作者：我的第一個網站</x:v>
      </x:c>
      <x:c r="D233" s="38" t="n">
        <x:v>14</x:v>
      </x:c>
      <x:c r="E233" s="38" t="str">
        <x:v>建置 Sprint：從首頁到作品頁</x:v>
      </x:c>
      <x:c r="F233" s="38" t="n">
        <x:v>1</x:v>
      </x:c>
      <x:c r="G233" s="38" t="str">
        <x:v>概念入門／官方優先</x:v>
      </x:c>
      <x:c r="H233" s="38" t="str">
        <x:v>建置 Sprint 從首頁到作品頁 HTML CSS JavaScript web development beginner tutorial MDN</x:v>
      </x:c>
      <x:c r="I233" s="38" t="str">
        <x:v>https://www.youtube.com/results?search_query=%E5%BB%BA%E7%BD%AE+Sprint+%E5%BE%9E%E9%A6%96%E9%A0%81%E5%88%B0%E4%BD%9C%E5%93%81%E9%A0%81+HTML+CSS+JavaScript+web+development+beginner+tutorial+MDN</x:v>
      </x:c>
      <x:c r="J233" s="38" t="str">
        <x:v>課前暖身</x:v>
      </x:c>
      <x:c r="K233" s="38" t="str">
        <x:v>5–12 分鐘</x:v>
      </x:c>
      <x:c r="L233" s="38" t="str">
        <x:v>先建立直覺；看完能說出 3 個關鍵詞</x:v>
      </x:c>
      <x:c r="M233" s="38" t="str">
        <x:v>□ 未挑選</x:v>
      </x:c>
      <x:c r="N233" s="38" t="str"/>
      <x:c r="O233" s="38" t="str"/>
    </x:row>
    <x:row r="234">
      <x:c r="A234" s="38" t="n">
        <x:v>78</x:v>
      </x:c>
      <x:c r="B234" s="38" t="str">
        <x:v>第 2 年</x:v>
      </x:c>
      <x:c r="C234" s="38" t="str">
        <x:v>M05 Web 創作者：我的第一個網站</x:v>
      </x:c>
      <x:c r="D234" s="38" t="n">
        <x:v>14</x:v>
      </x:c>
      <x:c r="E234" s="38" t="str">
        <x:v>建置 Sprint：從首頁到作品頁</x:v>
      </x:c>
      <x:c r="F234" s="38" t="n">
        <x:v>2</x:v>
      </x:c>
      <x:c r="G234" s="38" t="str">
        <x:v>跟做實作／專案導向</x:v>
      </x:c>
      <x:c r="H234" s="38" t="str">
        <x:v>建置 Sprint 從首頁到作品頁 依優先順序完成 MVP 並持續提交版本 hands on project for kids HTML CSS JavaScript</x:v>
      </x:c>
      <x:c r="I234" s="38" t="str">
        <x:v>https://www.youtube.com/results?search_query=%E5%BB%BA%E7%BD%AE+Sprint+%E5%BE%9E%E9%A6%96%E9%A0%81%E5%88%B0%E4%BD%9C%E5%93%81%E9%A0%81+%E4%BE%9D%E5%84%AA%E5%85%88%E9%A0%86%E5%BA%8F%E5%AE%8C%E6%88%90+MVP+%E4%B8%A6%E6%8C%81%E7%BA%8C%E6%8F%90%E4%BA%A4%E7%89%88%E6%9C%AC+hands+on+project+for+kids+HTML+CSS+JavaScript+web+development</x:v>
      </x:c>
      <x:c r="J234" s="38" t="str">
        <x:v>課中實作參考</x:v>
      </x:c>
      <x:c r="K234" s="38" t="str">
        <x:v>8–20 分鐘</x:v>
      </x:c>
      <x:c r="L234" s="38" t="str">
        <x:v>優先找有畫面操作、步驟清楚、可暫停跟做的版本</x:v>
      </x:c>
      <x:c r="M234" s="38" t="str">
        <x:v>□ 未挑選</x:v>
      </x:c>
      <x:c r="N234" s="38" t="str"/>
      <x:c r="O234" s="38" t="str"/>
    </x:row>
    <x:row r="235">
      <x:c r="A235" s="38" t="n">
        <x:v>78</x:v>
      </x:c>
      <x:c r="B235" s="38" t="str">
        <x:v>第 2 年</x:v>
      </x:c>
      <x:c r="C235" s="38" t="str">
        <x:v>M05 Web 創作者：我的第一個網站</x:v>
      </x:c>
      <x:c r="D235" s="38" t="n">
        <x:v>14</x:v>
      </x:c>
      <x:c r="E235" s="38" t="str">
        <x:v>建置 Sprint：從首頁到作品頁</x:v>
      </x:c>
      <x:c r="F235" s="38" t="n">
        <x:v>3</x:v>
      </x:c>
      <x:c r="G235" s="38" t="str">
        <x:v>中文延伸／倫理安全</x:v>
      </x:c>
      <x:c r="H235" s="38" t="str">
        <x:v>建置 Sprint 從首頁到作品頁 中文 教學 原理 安全 親子 HTML CSS JavaScript web development</x:v>
      </x:c>
      <x:c r="I235" s="38" t="str">
        <x:v>https://www.youtube.com/results?search_query=%E5%BB%BA%E7%BD%AE+Sprint+%E5%BE%9E%E9%A6%96%E9%A0%81%E5%88%B0%E4%BD%9C%E5%93%81%E9%A0%81+%E4%B8%AD%E6%96%87+%E6%95%99%E5%AD%B8+%E5%8E%9F%E7%90%86+%E5%AE%89%E5%85%A8+%E8%A6%AA%E5%AD%90+HTML+CSS+JavaScript+web+development</x:v>
      </x:c>
      <x:c r="J235" s="38" t="str">
        <x:v>課後延伸／親子討論</x:v>
      </x:c>
      <x:c r="K235" s="38" t="str">
        <x:v>6–15 分鐘</x:v>
      </x:c>
      <x:c r="L235" s="38" t="str">
        <x:v>補充應用、倫理、安全或真實案例；父子各說一個觀點</x:v>
      </x:c>
      <x:c r="M235" s="38" t="str">
        <x:v>□ 未挑選</x:v>
      </x:c>
      <x:c r="N235" s="38" t="str"/>
      <x:c r="O235" s="38" t="str"/>
    </x:row>
    <x:row r="236">
      <x:c r="A236" s="38" t="n">
        <x:v>79</x:v>
      </x:c>
      <x:c r="B236" s="38" t="str">
        <x:v>第 2 年</x:v>
      </x:c>
      <x:c r="C236" s="38" t="str">
        <x:v>M05 Web 創作者：我的第一個網站</x:v>
      </x:c>
      <x:c r="D236" s="38" t="n">
        <x:v>15</x:v>
      </x:c>
      <x:c r="E236" s="38" t="str">
        <x:v>GitHub Pages 發布與測試</x:v>
      </x:c>
      <x:c r="F236" s="38" t="n">
        <x:v>1</x:v>
      </x:c>
      <x:c r="G236" s="38" t="str">
        <x:v>概念入門／官方優先</x:v>
      </x:c>
      <x:c r="H236" s="38" t="str">
        <x:v>GitHub Pages 發布與測試 HTML CSS JavaScript web development beginner tutorial MDN</x:v>
      </x:c>
      <x:c r="I236" s="38" t="str">
        <x:v>https://www.youtube.com/results?search_query=GitHub+Pages+%E7%99%BC%E5%B8%83%E8%88%87%E6%B8%AC%E8%A9%A6+HTML+CSS+JavaScript+web+development+beginner+tutorial+MDN</x:v>
      </x:c>
      <x:c r="J236" s="38" t="str">
        <x:v>課前暖身</x:v>
      </x:c>
      <x:c r="K236" s="38" t="str">
        <x:v>5–12 分鐘</x:v>
      </x:c>
      <x:c r="L236" s="38" t="str">
        <x:v>先建立直覺；看完能說出 3 個關鍵詞</x:v>
      </x:c>
      <x:c r="M236" s="38" t="str">
        <x:v>□ 未挑選</x:v>
      </x:c>
      <x:c r="N236" s="38" t="str"/>
      <x:c r="O236" s="38" t="str"/>
    </x:row>
    <x:row r="237">
      <x:c r="A237" s="38" t="n">
        <x:v>79</x:v>
      </x:c>
      <x:c r="B237" s="38" t="str">
        <x:v>第 2 年</x:v>
      </x:c>
      <x:c r="C237" s="38" t="str">
        <x:v>M05 Web 創作者：我的第一個網站</x:v>
      </x:c>
      <x:c r="D237" s="38" t="n">
        <x:v>15</x:v>
      </x:c>
      <x:c r="E237" s="38" t="str">
        <x:v>GitHub Pages 發布與測試</x:v>
      </x:c>
      <x:c r="F237" s="38" t="n">
        <x:v>2</x:v>
      </x:c>
      <x:c r="G237" s="38" t="str">
        <x:v>跟做實作／專案導向</x:v>
      </x:c>
      <x:c r="H237" s="38" t="str">
        <x:v>GitHub Pages 發布與測試 理解 repository、commit、部署與公開網址 hands on project for kids HTML CSS JavaScript web</x:v>
      </x:c>
      <x:c r="I237" s="38" t="str">
        <x:v>https://www.youtube.com/results?search_query=GitHub+Pages+%E7%99%BC%E5%B8%83%E8%88%87%E6%B8%AC%E8%A9%A6+%E7%90%86%E8%A7%A3+repository%E3%80%81commit%E3%80%81%E9%83%A8%E7%BD%B2%E8%88%87%E5%85%AC%E9%96%8B%E7%B6%B2%E5%9D%80+hands+on+project+for+kids+HTML+CSS+JavaScript+web+development</x:v>
      </x:c>
      <x:c r="J237" s="38" t="str">
        <x:v>課中實作參考</x:v>
      </x:c>
      <x:c r="K237" s="38" t="str">
        <x:v>8–20 分鐘</x:v>
      </x:c>
      <x:c r="L237" s="38" t="str">
        <x:v>優先找有畫面操作、步驟清楚、可暫停跟做的版本</x:v>
      </x:c>
      <x:c r="M237" s="38" t="str">
        <x:v>□ 未挑選</x:v>
      </x:c>
      <x:c r="N237" s="38" t="str"/>
      <x:c r="O237" s="38" t="str"/>
    </x:row>
    <x:row r="238">
      <x:c r="A238" s="38" t="n">
        <x:v>79</x:v>
      </x:c>
      <x:c r="B238" s="38" t="str">
        <x:v>第 2 年</x:v>
      </x:c>
      <x:c r="C238" s="38" t="str">
        <x:v>M05 Web 創作者：我的第一個網站</x:v>
      </x:c>
      <x:c r="D238" s="38" t="n">
        <x:v>15</x:v>
      </x:c>
      <x:c r="E238" s="38" t="str">
        <x:v>GitHub Pages 發布與測試</x:v>
      </x:c>
      <x:c r="F238" s="38" t="n">
        <x:v>3</x:v>
      </x:c>
      <x:c r="G238" s="38" t="str">
        <x:v>中文延伸／倫理安全</x:v>
      </x:c>
      <x:c r="H238" s="38" t="str">
        <x:v>GitHub Pages 發布與測試 中文 教學 原理 安全 親子 HTML CSS JavaScript web development</x:v>
      </x:c>
      <x:c r="I238" s="38" t="str">
        <x:v>https://www.youtube.com/results?search_query=GitHub+Pages+%E7%99%BC%E5%B8%83%E8%88%87%E6%B8%AC%E8%A9%A6+%E4%B8%AD%E6%96%87+%E6%95%99%E5%AD%B8+%E5%8E%9F%E7%90%86+%E5%AE%89%E5%85%A8+%E8%A6%AA%E5%AD%90+HTML+CSS+JavaScript+web+development</x:v>
      </x:c>
      <x:c r="J238" s="38" t="str">
        <x:v>課後延伸／親子討論</x:v>
      </x:c>
      <x:c r="K238" s="38" t="str">
        <x:v>6–15 分鐘</x:v>
      </x:c>
      <x:c r="L238" s="38" t="str">
        <x:v>補充應用、倫理、安全或真實案例；父子各說一個觀點</x:v>
      </x:c>
      <x:c r="M238" s="38" t="str">
        <x:v>□ 未挑選</x:v>
      </x:c>
      <x:c r="N238" s="38" t="str"/>
      <x:c r="O238" s="38" t="str"/>
    </x:row>
    <x:row r="239">
      <x:c r="A239" s="38" t="n">
        <x:v>80</x:v>
      </x:c>
      <x:c r="B239" s="38" t="str">
        <x:v>第 2 年</x:v>
      </x:c>
      <x:c r="C239" s="38" t="str">
        <x:v>M05 Web 創作者：我的第一個網站</x:v>
      </x:c>
      <x:c r="D239" s="38" t="n">
        <x:v>16</x:v>
      </x:c>
      <x:c r="E239" s="38" t="str">
        <x:v>線上導覽員發表會</x:v>
      </x:c>
      <x:c r="F239" s="38" t="n">
        <x:v>1</x:v>
      </x:c>
      <x:c r="G239" s="38" t="str">
        <x:v>概念入門／官方優先</x:v>
      </x:c>
      <x:c r="H239" s="38" t="str">
        <x:v>線上導覽員發表會 HTML CSS JavaScript web development beginner tutorial MDN</x:v>
      </x:c>
      <x:c r="I239" s="38" t="str">
        <x:v>https://www.youtube.com/results?search_query=%E7%B7%9A%E4%B8%8A%E5%B0%8E%E8%A6%BD%E5%93%A1%E7%99%BC%E8%A1%A8%E6%9C%83+HTML+CSS+JavaScript+web+development+beginner+tutorial+MDN</x:v>
      </x:c>
      <x:c r="J239" s="38" t="str">
        <x:v>課前暖身</x:v>
      </x:c>
      <x:c r="K239" s="38" t="str">
        <x:v>5–12 分鐘</x:v>
      </x:c>
      <x:c r="L239" s="38" t="str">
        <x:v>先建立直覺；看完能說出 3 個關鍵詞</x:v>
      </x:c>
      <x:c r="M239" s="38" t="str">
        <x:v>□ 未挑選</x:v>
      </x:c>
      <x:c r="N239" s="38" t="str"/>
      <x:c r="O239" s="38" t="str"/>
    </x:row>
    <x:row r="240">
      <x:c r="A240" s="38" t="n">
        <x:v>80</x:v>
      </x:c>
      <x:c r="B240" s="38" t="str">
        <x:v>第 2 年</x:v>
      </x:c>
      <x:c r="C240" s="38" t="str">
        <x:v>M05 Web 創作者：我的第一個網站</x:v>
      </x:c>
      <x:c r="D240" s="38" t="n">
        <x:v>16</x:v>
      </x:c>
      <x:c r="E240" s="38" t="str">
        <x:v>線上導覽員發表會</x:v>
      </x:c>
      <x:c r="F240" s="38" t="n">
        <x:v>2</x:v>
      </x:c>
      <x:c r="G240" s="38" t="str">
        <x:v>跟做實作／專案導向</x:v>
      </x:c>
      <x:c r="H240" s="38" t="str">
        <x:v>線上導覽員發表會 練習網站導覽、設計取捨、問題回答與更新 hands on project for kids HTML CSS JavaScript web development</x:v>
      </x:c>
      <x:c r="I240" s="38" t="str">
        <x:v>https://www.youtube.com/results?search_query=%E7%B7%9A%E4%B8%8A%E5%B0%8E%E8%A6%BD%E5%93%A1%E7%99%BC%E8%A1%A8%E6%9C%83+%E7%B7%B4%E7%BF%92%E7%B6%B2%E7%AB%99%E5%B0%8E%E8%A6%BD%E3%80%81%E8%A8%AD%E8%A8%88%E5%8F%96%E6%8D%A8%E3%80%81%E5%95%8F%E9%A1%8C%E5%9B%9E%E7%AD%94%E8%88%87%E6%9B%B4%E6%96%B0+hands+on+project+for+kids+HTML+CSS+JavaScript+web+development</x:v>
      </x:c>
      <x:c r="J240" s="38" t="str">
        <x:v>課中實作參考</x:v>
      </x:c>
      <x:c r="K240" s="38" t="str">
        <x:v>8–20 分鐘</x:v>
      </x:c>
      <x:c r="L240" s="38" t="str">
        <x:v>優先找有畫面操作、步驟清楚、可暫停跟做的版本</x:v>
      </x:c>
      <x:c r="M240" s="38" t="str">
        <x:v>□ 未挑選</x:v>
      </x:c>
      <x:c r="N240" s="38" t="str"/>
      <x:c r="O240" s="38" t="str"/>
    </x:row>
    <x:row r="241">
      <x:c r="A241" s="38" t="n">
        <x:v>80</x:v>
      </x:c>
      <x:c r="B241" s="38" t="str">
        <x:v>第 2 年</x:v>
      </x:c>
      <x:c r="C241" s="38" t="str">
        <x:v>M05 Web 創作者：我的第一個網站</x:v>
      </x:c>
      <x:c r="D241" s="38" t="n">
        <x:v>16</x:v>
      </x:c>
      <x:c r="E241" s="38" t="str">
        <x:v>線上導覽員發表會</x:v>
      </x:c>
      <x:c r="F241" s="38" t="n">
        <x:v>3</x:v>
      </x:c>
      <x:c r="G241" s="38" t="str">
        <x:v>中文延伸／倫理安全</x:v>
      </x:c>
      <x:c r="H241" s="38" t="str">
        <x:v>線上導覽員發表會 中文 教學 原理 安全 親子 HTML CSS JavaScript web development</x:v>
      </x:c>
      <x:c r="I241" s="38" t="str">
        <x:v>https://www.youtube.com/results?search_query=%E7%B7%9A%E4%B8%8A%E5%B0%8E%E8%A6%BD%E5%93%A1%E7%99%BC%E8%A1%A8%E6%9C%83+%E4%B8%AD%E6%96%87+%E6%95%99%E5%AD%B8+%E5%8E%9F%E7%90%86+%E5%AE%89%E5%85%A8+%E8%A6%AA%E5%AD%90+HTML+CSS+JavaScript+web+development</x:v>
      </x:c>
      <x:c r="J241" s="38" t="str">
        <x:v>課後延伸／親子討論</x:v>
      </x:c>
      <x:c r="K241" s="38" t="str">
        <x:v>6–15 分鐘</x:v>
      </x:c>
      <x:c r="L241" s="38" t="str">
        <x:v>補充應用、倫理、安全或真實案例；父子各說一個觀點</x:v>
      </x:c>
      <x:c r="M241" s="38" t="str">
        <x:v>□ 未挑選</x:v>
      </x:c>
      <x:c r="N241" s="38" t="str"/>
      <x:c r="O241" s="38" t="str"/>
    </x:row>
    <x:row r="242">
      <x:c r="A242" s="38" t="n">
        <x:v>81</x:v>
      </x:c>
      <x:c r="B242" s="38" t="str">
        <x:v>第 2 年</x:v>
      </x:c>
      <x:c r="C242" s="38" t="str">
        <x:v>M06 Maker Lab：micro:bit 電子與感測</x:v>
      </x:c>
      <x:c r="D242" s="38" t="n">
        <x:v>1</x:v>
      </x:c>
      <x:c r="E242" s="38" t="str">
        <x:v>電、電子與安全規則</x:v>
      </x:c>
      <x:c r="F242" s="38" t="n">
        <x:v>1</x:v>
      </x:c>
      <x:c r="G242" s="38" t="str">
        <x:v>概念入門／官方優先</x:v>
      </x:c>
      <x:c r="H242" s="38" t="str">
        <x:v>電、電子與安全規則 microbit physical computing coding beginner tutorial micro:bit</x:v>
      </x:c>
      <x:c r="I242" s="38" t="str">
        <x:v>https://www.youtube.com/results?search_query=%E9%9B%BB%E3%80%81%E9%9B%BB%E5%AD%90%E8%88%87%E5%AE%89%E5%85%A8%E8%A6%8F%E5%89%87+microbit+physical+computing+coding+beginner+tutorial+micro%3Abit</x:v>
      </x:c>
      <x:c r="J242" s="38" t="str">
        <x:v>課前暖身</x:v>
      </x:c>
      <x:c r="K242" s="38" t="str">
        <x:v>5–12 分鐘</x:v>
      </x:c>
      <x:c r="L242" s="38" t="str">
        <x:v>先建立直覺；看完能說出 3 個關鍵詞</x:v>
      </x:c>
      <x:c r="M242" s="38" t="str">
        <x:v>□ 未挑選</x:v>
      </x:c>
      <x:c r="N242" s="38" t="str"/>
      <x:c r="O242" s="38" t="str"/>
    </x:row>
    <x:row r="243">
      <x:c r="A243" s="38" t="n">
        <x:v>81</x:v>
      </x:c>
      <x:c r="B243" s="38" t="str">
        <x:v>第 2 年</x:v>
      </x:c>
      <x:c r="C243" s="38" t="str">
        <x:v>M06 Maker Lab：micro:bit 電子與感測</x:v>
      </x:c>
      <x:c r="D243" s="38" t="n">
        <x:v>1</x:v>
      </x:c>
      <x:c r="E243" s="38" t="str">
        <x:v>電、電子與安全規則</x:v>
      </x:c>
      <x:c r="F243" s="38" t="n">
        <x:v>2</x:v>
      </x:c>
      <x:c r="G243" s="38" t="str">
        <x:v>跟做實作／專案導向</x:v>
      </x:c>
      <x:c r="H243" s="38" t="str">
        <x:v>電、電子與安全規則 理解電壓、電流、正負極、短路與低壓實驗安全 hands on project for kids microbit physical computing coding</x:v>
      </x:c>
      <x:c r="I243" s="38" t="str">
        <x:v>https://www.youtube.com/results?search_query=%E9%9B%BB%E3%80%81%E9%9B%BB%E5%AD%90%E8%88%87%E5%AE%89%E5%85%A8%E8%A6%8F%E5%89%87+%E7%90%86%E8%A7%A3%E9%9B%BB%E5%A3%93%E3%80%81%E9%9B%BB%E6%B5%81%E3%80%81%E6%AD%A3%E8%B2%A0%E6%A5%B5%E3%80%81%E7%9F%AD%E8%B7%AF%E8%88%87%E4%BD%8E%E5%A3%93%E5%AF%A6%E9%A9%97%E5%AE%89%E5%85%A8+hands+on+project+for+kids+microbit+physical+computing+coding</x:v>
      </x:c>
      <x:c r="J243" s="38" t="str">
        <x:v>課中實作參考</x:v>
      </x:c>
      <x:c r="K243" s="38" t="str">
        <x:v>8–20 分鐘</x:v>
      </x:c>
      <x:c r="L243" s="38" t="str">
        <x:v>優先找有畫面操作、步驟清楚、可暫停跟做的版本</x:v>
      </x:c>
      <x:c r="M243" s="38" t="str">
        <x:v>□ 未挑選</x:v>
      </x:c>
      <x:c r="N243" s="38" t="str"/>
      <x:c r="O243" s="38" t="str"/>
    </x:row>
    <x:row r="244">
      <x:c r="A244" s="38" t="n">
        <x:v>81</x:v>
      </x:c>
      <x:c r="B244" s="38" t="str">
        <x:v>第 2 年</x:v>
      </x:c>
      <x:c r="C244" s="38" t="str">
        <x:v>M06 Maker Lab：micro:bit 電子與感測</x:v>
      </x:c>
      <x:c r="D244" s="38" t="n">
        <x:v>1</x:v>
      </x:c>
      <x:c r="E244" s="38" t="str">
        <x:v>電、電子與安全規則</x:v>
      </x:c>
      <x:c r="F244" s="38" t="n">
        <x:v>3</x:v>
      </x:c>
      <x:c r="G244" s="38" t="str">
        <x:v>中文延伸／倫理安全</x:v>
      </x:c>
      <x:c r="H244" s="38" t="str">
        <x:v>電、電子與安全規則 中文 教學 原理 安全 親子 microbit physical computing coding</x:v>
      </x:c>
      <x:c r="I244" s="38" t="str">
        <x:v>https://www.youtube.com/results?search_query=%E9%9B%BB%E3%80%81%E9%9B%BB%E5%AD%90%E8%88%87%E5%AE%89%E5%85%A8%E8%A6%8F%E5%89%87+%E4%B8%AD%E6%96%87+%E6%95%99%E5%AD%B8+%E5%8E%9F%E7%90%86+%E5%AE%89%E5%85%A8+%E8%A6%AA%E5%AD%90+microbit+physical+computing+coding</x:v>
      </x:c>
      <x:c r="J244" s="38" t="str">
        <x:v>課後延伸／親子討論</x:v>
      </x:c>
      <x:c r="K244" s="38" t="str">
        <x:v>6–15 分鐘</x:v>
      </x:c>
      <x:c r="L244" s="38" t="str">
        <x:v>補充應用、倫理、安全或真實案例；父子各說一個觀點</x:v>
      </x:c>
      <x:c r="M244" s="38" t="str">
        <x:v>□ 未挑選</x:v>
      </x:c>
      <x:c r="N244" s="38" t="str"/>
      <x:c r="O244" s="38" t="str"/>
    </x:row>
    <x:row r="245">
      <x:c r="A245" s="38" t="n">
        <x:v>82</x:v>
      </x:c>
      <x:c r="B245" s="38" t="str">
        <x:v>第 2 年</x:v>
      </x:c>
      <x:c r="C245" s="38" t="str">
        <x:v>M06 Maker Lab：micro:bit 電子與感測</x:v>
      </x:c>
      <x:c r="D245" s="38" t="n">
        <x:v>2</x:v>
      </x:c>
      <x:c r="E245" s="38" t="str">
        <x:v>Hello micro:bit：LED 與按鈕</x:v>
      </x:c>
      <x:c r="F245" s="38" t="n">
        <x:v>1</x:v>
      </x:c>
      <x:c r="G245" s="38" t="str">
        <x:v>概念入門／官方優先</x:v>
      </x:c>
      <x:c r="H245" s="38" t="str">
        <x:v>Hello micro:bit LED 與按鈕 microbit physical computing coding beginner tutorial micro:bit</x:v>
      </x:c>
      <x:c r="I245" s="38" t="str">
        <x:v>https://www.youtube.com/results?search_query=Hello+micro%3Abit+LED+%E8%88%87%E6%8C%89%E9%88%95+microbit+physical+computing+coding+beginner+tutorial+micro%3Abit</x:v>
      </x:c>
      <x:c r="J245" s="38" t="str">
        <x:v>課前暖身</x:v>
      </x:c>
      <x:c r="K245" s="38" t="str">
        <x:v>5–12 分鐘</x:v>
      </x:c>
      <x:c r="L245" s="38" t="str">
        <x:v>先建立直覺；看完能說出 3 個關鍵詞</x:v>
      </x:c>
      <x:c r="M245" s="38" t="str">
        <x:v>□ 未挑選</x:v>
      </x:c>
      <x:c r="N245" s="38" t="str"/>
      <x:c r="O245" s="38" t="str"/>
    </x:row>
    <x:row r="246">
      <x:c r="A246" s="38" t="n">
        <x:v>82</x:v>
      </x:c>
      <x:c r="B246" s="38" t="str">
        <x:v>第 2 年</x:v>
      </x:c>
      <x:c r="C246" s="38" t="str">
        <x:v>M06 Maker Lab：micro:bit 電子與感測</x:v>
      </x:c>
      <x:c r="D246" s="38" t="n">
        <x:v>2</x:v>
      </x:c>
      <x:c r="E246" s="38" t="str">
        <x:v>Hello micro:bit：LED 與按鈕</x:v>
      </x:c>
      <x:c r="F246" s="38" t="n">
        <x:v>2</x:v>
      </x:c>
      <x:c r="G246" s="38" t="str">
        <x:v>跟做實作／專案導向</x:v>
      </x:c>
      <x:c r="H246" s="38" t="str">
        <x:v>Hello micro:bit LED 與按鈕 認識輸入、輸出、下載程式與事件 hands on project for kids microbit physical computing coding</x:v>
      </x:c>
      <x:c r="I246" s="38" t="str">
        <x:v>https://www.youtube.com/results?search_query=Hello+micro%3Abit+LED+%E8%88%87%E6%8C%89%E9%88%95+%E8%AA%8D%E8%AD%98%E8%BC%B8%E5%85%A5%E3%80%81%E8%BC%B8%E5%87%BA%E3%80%81%E4%B8%8B%E8%BC%89%E7%A8%8B%E5%BC%8F%E8%88%87%E4%BA%8B%E4%BB%B6+hands+on+project+for+kids+microbit+physical+computing+coding</x:v>
      </x:c>
      <x:c r="J246" s="38" t="str">
        <x:v>課中實作參考</x:v>
      </x:c>
      <x:c r="K246" s="38" t="str">
        <x:v>8–20 分鐘</x:v>
      </x:c>
      <x:c r="L246" s="38" t="str">
        <x:v>優先找有畫面操作、步驟清楚、可暫停跟做的版本</x:v>
      </x:c>
      <x:c r="M246" s="38" t="str">
        <x:v>□ 未挑選</x:v>
      </x:c>
      <x:c r="N246" s="38" t="str"/>
      <x:c r="O246" s="38" t="str"/>
    </x:row>
    <x:row r="247">
      <x:c r="A247" s="38" t="n">
        <x:v>82</x:v>
      </x:c>
      <x:c r="B247" s="38" t="str">
        <x:v>第 2 年</x:v>
      </x:c>
      <x:c r="C247" s="38" t="str">
        <x:v>M06 Maker Lab：micro:bit 電子與感測</x:v>
      </x:c>
      <x:c r="D247" s="38" t="n">
        <x:v>2</x:v>
      </x:c>
      <x:c r="E247" s="38" t="str">
        <x:v>Hello micro:bit：LED 與按鈕</x:v>
      </x:c>
      <x:c r="F247" s="38" t="n">
        <x:v>3</x:v>
      </x:c>
      <x:c r="G247" s="38" t="str">
        <x:v>中文延伸／倫理安全</x:v>
      </x:c>
      <x:c r="H247" s="38" t="str">
        <x:v>Hello micro:bit LED 與按鈕 中文 教學 原理 安全 親子 microbit physical computing coding</x:v>
      </x:c>
      <x:c r="I247" s="38" t="str">
        <x:v>https://www.youtube.com/results?search_query=Hello+micro%3Abit+LED+%E8%88%87%E6%8C%89%E9%88%95+%E4%B8%AD%E6%96%87+%E6%95%99%E5%AD%B8+%E5%8E%9F%E7%90%86+%E5%AE%89%E5%85%A8+%E8%A6%AA%E5%AD%90+microbit+physical+computing+coding</x:v>
      </x:c>
      <x:c r="J247" s="38" t="str">
        <x:v>課後延伸／親子討論</x:v>
      </x:c>
      <x:c r="K247" s="38" t="str">
        <x:v>6–15 分鐘</x:v>
      </x:c>
      <x:c r="L247" s="38" t="str">
        <x:v>補充應用、倫理、安全或真實案例；父子各說一個觀點</x:v>
      </x:c>
      <x:c r="M247" s="38" t="str">
        <x:v>□ 未挑選</x:v>
      </x:c>
      <x:c r="N247" s="38" t="str"/>
      <x:c r="O247" s="38" t="str"/>
    </x:row>
    <x:row r="248">
      <x:c r="A248" s="38" t="n">
        <x:v>83</x:v>
      </x:c>
      <x:c r="B248" s="38" t="str">
        <x:v>第 2 年</x:v>
      </x:c>
      <x:c r="C248" s="38" t="str">
        <x:v>M06 Maker Lab：micro:bit 電子與感測</x:v>
      </x:c>
      <x:c r="D248" s="38" t="n">
        <x:v>3</x:v>
      </x:c>
      <x:c r="E248" s="38" t="str">
        <x:v>感測器就是機器的感官</x:v>
      </x:c>
      <x:c r="F248" s="38" t="n">
        <x:v>1</x:v>
      </x:c>
      <x:c r="G248" s="38" t="str">
        <x:v>概念入門／官方優先</x:v>
      </x:c>
      <x:c r="H248" s="38" t="str">
        <x:v>感測器就是機器的感官 microbit physical computing coding beginner tutorial micro:bit</x:v>
      </x:c>
      <x:c r="I248" s="38" t="str">
        <x:v>https://www.youtube.com/results?search_query=%E6%84%9F%E6%B8%AC%E5%99%A8%E5%B0%B1%E6%98%AF%E6%A9%9F%E5%99%A8%E7%9A%84%E6%84%9F%E5%AE%98+microbit+physical+computing+coding+beginner+tutorial+micro%3Abit</x:v>
      </x:c>
      <x:c r="J248" s="38" t="str">
        <x:v>課前暖身</x:v>
      </x:c>
      <x:c r="K248" s="38" t="str">
        <x:v>5–12 分鐘</x:v>
      </x:c>
      <x:c r="L248" s="38" t="str">
        <x:v>先建立直覺；看完能說出 3 個關鍵詞</x:v>
      </x:c>
      <x:c r="M248" s="38" t="str">
        <x:v>□ 未挑選</x:v>
      </x:c>
      <x:c r="N248" s="38" t="str"/>
      <x:c r="O248" s="38" t="str"/>
    </x:row>
    <x:row r="249">
      <x:c r="A249" s="38" t="n">
        <x:v>83</x:v>
      </x:c>
      <x:c r="B249" s="38" t="str">
        <x:v>第 2 年</x:v>
      </x:c>
      <x:c r="C249" s="38" t="str">
        <x:v>M06 Maker Lab：micro:bit 電子與感測</x:v>
      </x:c>
      <x:c r="D249" s="38" t="n">
        <x:v>3</x:v>
      </x:c>
      <x:c r="E249" s="38" t="str">
        <x:v>感測器就是機器的感官</x:v>
      </x:c>
      <x:c r="F249" s="38" t="n">
        <x:v>2</x:v>
      </x:c>
      <x:c r="G249" s="38" t="str">
        <x:v>跟做實作／專案導向</x:v>
      </x:c>
      <x:c r="H249" s="38" t="str">
        <x:v>感測器就是機器的感官 理解量測、取樣、單位、範圍與雜訊 hands on project for kids microbit physical computing coding</x:v>
      </x:c>
      <x:c r="I249" s="38" t="str">
        <x:v>https://www.youtube.com/results?search_query=%E6%84%9F%E6%B8%AC%E5%99%A8%E5%B0%B1%E6%98%AF%E6%A9%9F%E5%99%A8%E7%9A%84%E6%84%9F%E5%AE%98+%E7%90%86%E8%A7%A3%E9%87%8F%E6%B8%AC%E3%80%81%E5%8F%96%E6%A8%A3%E3%80%81%E5%96%AE%E4%BD%8D%E3%80%81%E7%AF%84%E5%9C%8D%E8%88%87%E9%9B%9C%E8%A8%8A+hands+on+project+for+kids+microbit+physical+computing+coding</x:v>
      </x:c>
      <x:c r="J249" s="38" t="str">
        <x:v>課中實作參考</x:v>
      </x:c>
      <x:c r="K249" s="38" t="str">
        <x:v>8–20 分鐘</x:v>
      </x:c>
      <x:c r="L249" s="38" t="str">
        <x:v>優先找有畫面操作、步驟清楚、可暫停跟做的版本</x:v>
      </x:c>
      <x:c r="M249" s="38" t="str">
        <x:v>□ 未挑選</x:v>
      </x:c>
      <x:c r="N249" s="38" t="str"/>
      <x:c r="O249" s="38" t="str"/>
    </x:row>
    <x:row r="250">
      <x:c r="A250" s="38" t="n">
        <x:v>83</x:v>
      </x:c>
      <x:c r="B250" s="38" t="str">
        <x:v>第 2 年</x:v>
      </x:c>
      <x:c r="C250" s="38" t="str">
        <x:v>M06 Maker Lab：micro:bit 電子與感測</x:v>
      </x:c>
      <x:c r="D250" s="38" t="n">
        <x:v>3</x:v>
      </x:c>
      <x:c r="E250" s="38" t="str">
        <x:v>感測器就是機器的感官</x:v>
      </x:c>
      <x:c r="F250" s="38" t="n">
        <x:v>3</x:v>
      </x:c>
      <x:c r="G250" s="38" t="str">
        <x:v>中文延伸／倫理安全</x:v>
      </x:c>
      <x:c r="H250" s="38" t="str">
        <x:v>感測器就是機器的感官 中文 教學 原理 安全 親子 microbit physical computing coding</x:v>
      </x:c>
      <x:c r="I250" s="38" t="str">
        <x:v>https://www.youtube.com/results?search_query=%E6%84%9F%E6%B8%AC%E5%99%A8%E5%B0%B1%E6%98%AF%E6%A9%9F%E5%99%A8%E7%9A%84%E6%84%9F%E5%AE%98+%E4%B8%AD%E6%96%87+%E6%95%99%E5%AD%B8+%E5%8E%9F%E7%90%86+%E5%AE%89%E5%85%A8+%E8%A6%AA%E5%AD%90+microbit+physical+computing+coding</x:v>
      </x:c>
      <x:c r="J250" s="38" t="str">
        <x:v>課後延伸／親子討論</x:v>
      </x:c>
      <x:c r="K250" s="38" t="str">
        <x:v>6–15 分鐘</x:v>
      </x:c>
      <x:c r="L250" s="38" t="str">
        <x:v>補充應用、倫理、安全或真實案例；父子各說一個觀點</x:v>
      </x:c>
      <x:c r="M250" s="38" t="str">
        <x:v>□ 未挑選</x:v>
      </x:c>
      <x:c r="N250" s="38" t="str"/>
      <x:c r="O250" s="38" t="str"/>
    </x:row>
    <x:row r="251">
      <x:c r="A251" s="38" t="n">
        <x:v>84</x:v>
      </x:c>
      <x:c r="B251" s="38" t="str">
        <x:v>第 2 年</x:v>
      </x:c>
      <x:c r="C251" s="38" t="str">
        <x:v>M06 Maker Lab：micro:bit 電子與感測</x:v>
      </x:c>
      <x:c r="D251" s="38" t="n">
        <x:v>4</x:v>
      </x:c>
      <x:c r="E251" s="38" t="str">
        <x:v>加速度計：步數與動作偵測</x:v>
      </x:c>
      <x:c r="F251" s="38" t="n">
        <x:v>1</x:v>
      </x:c>
      <x:c r="G251" s="38" t="str">
        <x:v>概念入門／官方優先</x:v>
      </x:c>
      <x:c r="H251" s="38" t="str">
        <x:v>加速度計 步數與動作偵測 microbit physical computing coding beginner tutorial micro:bit</x:v>
      </x:c>
      <x:c r="I251" s="38" t="str">
        <x:v>https://www.youtube.com/results?search_query=%E5%8A%A0%E9%80%9F%E5%BA%A6%E8%A8%88+%E6%AD%A5%E6%95%B8%E8%88%87%E5%8B%95%E4%BD%9C%E5%81%B5%E6%B8%AC+microbit+physical+computing+coding+beginner+tutorial+micro%3Abit</x:v>
      </x:c>
      <x:c r="J251" s="38" t="str">
        <x:v>課前暖身</x:v>
      </x:c>
      <x:c r="K251" s="38" t="str">
        <x:v>5–12 分鐘</x:v>
      </x:c>
      <x:c r="L251" s="38" t="str">
        <x:v>先建立直覺；看完能說出 3 個關鍵詞</x:v>
      </x:c>
      <x:c r="M251" s="38" t="str">
        <x:v>□ 未挑選</x:v>
      </x:c>
      <x:c r="N251" s="38" t="str"/>
      <x:c r="O251" s="38" t="str"/>
    </x:row>
    <x:row r="252">
      <x:c r="A252" s="38" t="n">
        <x:v>84</x:v>
      </x:c>
      <x:c r="B252" s="38" t="str">
        <x:v>第 2 年</x:v>
      </x:c>
      <x:c r="C252" s="38" t="str">
        <x:v>M06 Maker Lab：micro:bit 電子與感測</x:v>
      </x:c>
      <x:c r="D252" s="38" t="n">
        <x:v>4</x:v>
      </x:c>
      <x:c r="E252" s="38" t="str">
        <x:v>加速度計：步數與動作偵測</x:v>
      </x:c>
      <x:c r="F252" s="38" t="n">
        <x:v>2</x:v>
      </x:c>
      <x:c r="G252" s="38" t="str">
        <x:v>跟做實作／專案導向</x:v>
      </x:c>
      <x:c r="H252" s="38" t="str">
        <x:v>加速度計 步數與動作偵測 理解三軸、閾值與事件判定 hands on project for kids microbit physical computing coding</x:v>
      </x:c>
      <x:c r="I252" s="38" t="str">
        <x:v>https://www.youtube.com/results?search_query=%E5%8A%A0%E9%80%9F%E5%BA%A6%E8%A8%88+%E6%AD%A5%E6%95%B8%E8%88%87%E5%8B%95%E4%BD%9C%E5%81%B5%E6%B8%AC+%E7%90%86%E8%A7%A3%E4%B8%89%E8%BB%B8%E3%80%81%E9%96%BE%E5%80%BC%E8%88%87%E4%BA%8B%E4%BB%B6%E5%88%A4%E5%AE%9A+hands+on+project+for+kids+microbit+physical+computing+coding</x:v>
      </x:c>
      <x:c r="J252" s="38" t="str">
        <x:v>課中實作參考</x:v>
      </x:c>
      <x:c r="K252" s="38" t="str">
        <x:v>8–20 分鐘</x:v>
      </x:c>
      <x:c r="L252" s="38" t="str">
        <x:v>優先找有畫面操作、步驟清楚、可暫停跟做的版本</x:v>
      </x:c>
      <x:c r="M252" s="38" t="str">
        <x:v>□ 未挑選</x:v>
      </x:c>
      <x:c r="N252" s="38" t="str"/>
      <x:c r="O252" s="38" t="str"/>
    </x:row>
    <x:row r="253">
      <x:c r="A253" s="38" t="n">
        <x:v>84</x:v>
      </x:c>
      <x:c r="B253" s="38" t="str">
        <x:v>第 2 年</x:v>
      </x:c>
      <x:c r="C253" s="38" t="str">
        <x:v>M06 Maker Lab：micro:bit 電子與感測</x:v>
      </x:c>
      <x:c r="D253" s="38" t="n">
        <x:v>4</x:v>
      </x:c>
      <x:c r="E253" s="38" t="str">
        <x:v>加速度計：步數與動作偵測</x:v>
      </x:c>
      <x:c r="F253" s="38" t="n">
        <x:v>3</x:v>
      </x:c>
      <x:c r="G253" s="38" t="str">
        <x:v>中文延伸／倫理安全</x:v>
      </x:c>
      <x:c r="H253" s="38" t="str">
        <x:v>加速度計 步數與動作偵測 中文 教學 原理 安全 親子 microbit physical computing coding</x:v>
      </x:c>
      <x:c r="I253" s="38" t="str">
        <x:v>https://www.youtube.com/results?search_query=%E5%8A%A0%E9%80%9F%E5%BA%A6%E8%A8%88+%E6%AD%A5%E6%95%B8%E8%88%87%E5%8B%95%E4%BD%9C%E5%81%B5%E6%B8%AC+%E4%B8%AD%E6%96%87+%E6%95%99%E5%AD%B8+%E5%8E%9F%E7%90%86+%E5%AE%89%E5%85%A8+%E8%A6%AA%E5%AD%90+microbit+physical+computing+coding</x:v>
      </x:c>
      <x:c r="J253" s="38" t="str">
        <x:v>課後延伸／親子討論</x:v>
      </x:c>
      <x:c r="K253" s="38" t="str">
        <x:v>6–15 分鐘</x:v>
      </x:c>
      <x:c r="L253" s="38" t="str">
        <x:v>補充應用、倫理、安全或真實案例；父子各說一個觀點</x:v>
      </x:c>
      <x:c r="M253" s="38" t="str">
        <x:v>□ 未挑選</x:v>
      </x:c>
      <x:c r="N253" s="38" t="str"/>
      <x:c r="O253" s="38" t="str"/>
    </x:row>
    <x:row r="254">
      <x:c r="A254" s="38" t="n">
        <x:v>85</x:v>
      </x:c>
      <x:c r="B254" s="38" t="str">
        <x:v>第 2 年</x:v>
      </x:c>
      <x:c r="C254" s="38" t="str">
        <x:v>M06 Maker Lab：micro:bit 電子與感測</x:v>
      </x:c>
      <x:c r="D254" s="38" t="n">
        <x:v>5</x:v>
      </x:c>
      <x:c r="E254" s="38" t="str">
        <x:v>電子羅盤尋寶</x:v>
      </x:c>
      <x:c r="F254" s="38" t="n">
        <x:v>1</x:v>
      </x:c>
      <x:c r="G254" s="38" t="str">
        <x:v>概念入門／官方優先</x:v>
      </x:c>
      <x:c r="H254" s="38" t="str">
        <x:v>電子羅盤尋寶 microbit physical computing coding beginner tutorial micro:bit</x:v>
      </x:c>
      <x:c r="I254" s="38" t="str">
        <x:v>https://www.youtube.com/results?search_query=%E9%9B%BB%E5%AD%90%E7%BE%85%E7%9B%A4%E5%B0%8B%E5%AF%B6+microbit+physical+computing+coding+beginner+tutorial+micro%3Abit</x:v>
      </x:c>
      <x:c r="J254" s="38" t="str">
        <x:v>課前暖身</x:v>
      </x:c>
      <x:c r="K254" s="38" t="str">
        <x:v>5–12 分鐘</x:v>
      </x:c>
      <x:c r="L254" s="38" t="str">
        <x:v>先建立直覺；看完能說出 3 個關鍵詞</x:v>
      </x:c>
      <x:c r="M254" s="38" t="str">
        <x:v>□ 未挑選</x:v>
      </x:c>
      <x:c r="N254" s="38" t="str"/>
      <x:c r="O254" s="38" t="str"/>
    </x:row>
    <x:row r="255">
      <x:c r="A255" s="38" t="n">
        <x:v>85</x:v>
      </x:c>
      <x:c r="B255" s="38" t="str">
        <x:v>第 2 年</x:v>
      </x:c>
      <x:c r="C255" s="38" t="str">
        <x:v>M06 Maker Lab：micro:bit 電子與感測</x:v>
      </x:c>
      <x:c r="D255" s="38" t="n">
        <x:v>5</x:v>
      </x:c>
      <x:c r="E255" s="38" t="str">
        <x:v>電子羅盤尋寶</x:v>
      </x:c>
      <x:c r="F255" s="38" t="n">
        <x:v>2</x:v>
      </x:c>
      <x:c r="G255" s="38" t="str">
        <x:v>跟做實作／專案導向</x:v>
      </x:c>
      <x:c r="H255" s="38" t="str">
        <x:v>電子羅盤尋寶 理解方向、校正與環境干擾 hands on project for kids microbit physical computing coding</x:v>
      </x:c>
      <x:c r="I255" s="38" t="str">
        <x:v>https://www.youtube.com/results?search_query=%E9%9B%BB%E5%AD%90%E7%BE%85%E7%9B%A4%E5%B0%8B%E5%AF%B6+%E7%90%86%E8%A7%A3%E6%96%B9%E5%90%91%E3%80%81%E6%A0%A1%E6%AD%A3%E8%88%87%E7%92%B0%E5%A2%83%E5%B9%B2%E6%93%BE+hands+on+project+for+kids+microbit+physical+computing+coding</x:v>
      </x:c>
      <x:c r="J255" s="38" t="str">
        <x:v>課中實作參考</x:v>
      </x:c>
      <x:c r="K255" s="38" t="str">
        <x:v>8–20 分鐘</x:v>
      </x:c>
      <x:c r="L255" s="38" t="str">
        <x:v>優先找有畫面操作、步驟清楚、可暫停跟做的版本</x:v>
      </x:c>
      <x:c r="M255" s="38" t="str">
        <x:v>□ 未挑選</x:v>
      </x:c>
      <x:c r="N255" s="38" t="str"/>
      <x:c r="O255" s="38" t="str"/>
    </x:row>
    <x:row r="256">
      <x:c r="A256" s="38" t="n">
        <x:v>85</x:v>
      </x:c>
      <x:c r="B256" s="38" t="str">
        <x:v>第 2 年</x:v>
      </x:c>
      <x:c r="C256" s="38" t="str">
        <x:v>M06 Maker Lab：micro:bit 電子與感測</x:v>
      </x:c>
      <x:c r="D256" s="38" t="n">
        <x:v>5</x:v>
      </x:c>
      <x:c r="E256" s="38" t="str">
        <x:v>電子羅盤尋寶</x:v>
      </x:c>
      <x:c r="F256" s="38" t="n">
        <x:v>3</x:v>
      </x:c>
      <x:c r="G256" s="38" t="str">
        <x:v>中文延伸／倫理安全</x:v>
      </x:c>
      <x:c r="H256" s="38" t="str">
        <x:v>電子羅盤尋寶 中文 教學 原理 安全 親子 microbit physical computing coding</x:v>
      </x:c>
      <x:c r="I256" s="38" t="str">
        <x:v>https://www.youtube.com/results?search_query=%E9%9B%BB%E5%AD%90%E7%BE%85%E7%9B%A4%E5%B0%8B%E5%AF%B6+%E4%B8%AD%E6%96%87+%E6%95%99%E5%AD%B8+%E5%8E%9F%E7%90%86+%E5%AE%89%E5%85%A8+%E8%A6%AA%E5%AD%90+microbit+physical+computing+coding</x:v>
      </x:c>
      <x:c r="J256" s="38" t="str">
        <x:v>課後延伸／親子討論</x:v>
      </x:c>
      <x:c r="K256" s="38" t="str">
        <x:v>6–15 分鐘</x:v>
      </x:c>
      <x:c r="L256" s="38" t="str">
        <x:v>補充應用、倫理、安全或真實案例；父子各說一個觀點</x:v>
      </x:c>
      <x:c r="M256" s="38" t="str">
        <x:v>□ 未挑選</x:v>
      </x:c>
      <x:c r="N256" s="38" t="str"/>
      <x:c r="O256" s="38" t="str"/>
    </x:row>
    <x:row r="257">
      <x:c r="A257" s="38" t="n">
        <x:v>86</x:v>
      </x:c>
      <x:c r="B257" s="38" t="str">
        <x:v>第 2 年</x:v>
      </x:c>
      <x:c r="C257" s="38" t="str">
        <x:v>M06 Maker Lab：micro:bit 電子與感測</x:v>
      </x:c>
      <x:c r="D257" s="38" t="n">
        <x:v>6</x:v>
      </x:c>
      <x:c r="E257" s="38" t="str">
        <x:v>溫度警報與舒適區</x:v>
      </x:c>
      <x:c r="F257" s="38" t="n">
        <x:v>1</x:v>
      </x:c>
      <x:c r="G257" s="38" t="str">
        <x:v>概念入門／官方優先</x:v>
      </x:c>
      <x:c r="H257" s="38" t="str">
        <x:v>溫度警報與舒適區 microbit physical computing coding beginner tutorial micro:bit</x:v>
      </x:c>
      <x:c r="I257" s="38" t="str">
        <x:v>https://www.youtube.com/results?search_query=%E6%BA%AB%E5%BA%A6%E8%AD%A6%E5%A0%B1%E8%88%87%E8%88%92%E9%81%A9%E5%8D%80+microbit+physical+computing+coding+beginner+tutorial+micro%3Abit</x:v>
      </x:c>
      <x:c r="J257" s="38" t="str">
        <x:v>課前暖身</x:v>
      </x:c>
      <x:c r="K257" s="38" t="str">
        <x:v>5–12 分鐘</x:v>
      </x:c>
      <x:c r="L257" s="38" t="str">
        <x:v>先建立直覺；看完能說出 3 個關鍵詞</x:v>
      </x:c>
      <x:c r="M257" s="38" t="str">
        <x:v>□ 未挑選</x:v>
      </x:c>
      <x:c r="N257" s="38" t="str"/>
      <x:c r="O257" s="38" t="str"/>
    </x:row>
    <x:row r="258">
      <x:c r="A258" s="38" t="n">
        <x:v>86</x:v>
      </x:c>
      <x:c r="B258" s="38" t="str">
        <x:v>第 2 年</x:v>
      </x:c>
      <x:c r="C258" s="38" t="str">
        <x:v>M06 Maker Lab：micro:bit 電子與感測</x:v>
      </x:c>
      <x:c r="D258" s="38" t="n">
        <x:v>6</x:v>
      </x:c>
      <x:c r="E258" s="38" t="str">
        <x:v>溫度警報與舒適區</x:v>
      </x:c>
      <x:c r="F258" s="38" t="n">
        <x:v>2</x:v>
      </x:c>
      <x:c r="G258" s="38" t="str">
        <x:v>跟做實作／專案導向</x:v>
      </x:c>
      <x:c r="H258" s="38" t="str">
        <x:v>溫度警報與舒適區 設定閾值、圖示與聲音回饋 hands on project for kids microbit physical computing coding</x:v>
      </x:c>
      <x:c r="I258" s="38" t="str">
        <x:v>https://www.youtube.com/results?search_query=%E6%BA%AB%E5%BA%A6%E8%AD%A6%E5%A0%B1%E8%88%87%E8%88%92%E9%81%A9%E5%8D%80+%E8%A8%AD%E5%AE%9A%E9%96%BE%E5%80%BC%E3%80%81%E5%9C%96%E7%A4%BA%E8%88%87%E8%81%B2%E9%9F%B3%E5%9B%9E%E9%A5%8B+hands+on+project+for+kids+microbit+physical+computing+coding</x:v>
      </x:c>
      <x:c r="J258" s="38" t="str">
        <x:v>課中實作參考</x:v>
      </x:c>
      <x:c r="K258" s="38" t="str">
        <x:v>8–20 分鐘</x:v>
      </x:c>
      <x:c r="L258" s="38" t="str">
        <x:v>優先找有畫面操作、步驟清楚、可暫停跟做的版本</x:v>
      </x:c>
      <x:c r="M258" s="38" t="str">
        <x:v>□ 未挑選</x:v>
      </x:c>
      <x:c r="N258" s="38" t="str"/>
      <x:c r="O258" s="38" t="str"/>
    </x:row>
    <x:row r="259">
      <x:c r="A259" s="38" t="n">
        <x:v>86</x:v>
      </x:c>
      <x:c r="B259" s="38" t="str">
        <x:v>第 2 年</x:v>
      </x:c>
      <x:c r="C259" s="38" t="str">
        <x:v>M06 Maker Lab：micro:bit 電子與感測</x:v>
      </x:c>
      <x:c r="D259" s="38" t="n">
        <x:v>6</x:v>
      </x:c>
      <x:c r="E259" s="38" t="str">
        <x:v>溫度警報與舒適區</x:v>
      </x:c>
      <x:c r="F259" s="38" t="n">
        <x:v>3</x:v>
      </x:c>
      <x:c r="G259" s="38" t="str">
        <x:v>中文延伸／倫理安全</x:v>
      </x:c>
      <x:c r="H259" s="38" t="str">
        <x:v>溫度警報與舒適區 中文 教學 原理 安全 親子 microbit physical computing coding</x:v>
      </x:c>
      <x:c r="I259" s="38" t="str">
        <x:v>https://www.youtube.com/results?search_query=%E6%BA%AB%E5%BA%A6%E8%AD%A6%E5%A0%B1%E8%88%87%E8%88%92%E9%81%A9%E5%8D%80+%E4%B8%AD%E6%96%87+%E6%95%99%E5%AD%B8+%E5%8E%9F%E7%90%86+%E5%AE%89%E5%85%A8+%E8%A6%AA%E5%AD%90+microbit+physical+computing+coding</x:v>
      </x:c>
      <x:c r="J259" s="38" t="str">
        <x:v>課後延伸／親子討論</x:v>
      </x:c>
      <x:c r="K259" s="38" t="str">
        <x:v>6–15 分鐘</x:v>
      </x:c>
      <x:c r="L259" s="38" t="str">
        <x:v>補充應用、倫理、安全或真實案例；父子各說一個觀點</x:v>
      </x:c>
      <x:c r="M259" s="38" t="str">
        <x:v>□ 未挑選</x:v>
      </x:c>
      <x:c r="N259" s="38" t="str"/>
      <x:c r="O259" s="38" t="str"/>
    </x:row>
    <x:row r="260">
      <x:c r="A260" s="38" t="n">
        <x:v>87</x:v>
      </x:c>
      <x:c r="B260" s="38" t="str">
        <x:v>第 2 年</x:v>
      </x:c>
      <x:c r="C260" s="38" t="str">
        <x:v>M06 Maker Lab：micro:bit 電子與感測</x:v>
      </x:c>
      <x:c r="D260" s="38" t="n">
        <x:v>7</x:v>
      </x:c>
      <x:c r="E260" s="38" t="str">
        <x:v>Radio：兩台裝置秘密通訊</x:v>
      </x:c>
      <x:c r="F260" s="38" t="n">
        <x:v>1</x:v>
      </x:c>
      <x:c r="G260" s="38" t="str">
        <x:v>概念入門／官方優先</x:v>
      </x:c>
      <x:c r="H260" s="38" t="str">
        <x:v>Radio 兩台裝置秘密通訊 microbit physical computing coding beginner tutorial micro:bit</x:v>
      </x:c>
      <x:c r="I260" s="38" t="str">
        <x:v>https://www.youtube.com/results?search_query=Radio+%E5%85%A9%E5%8F%B0%E8%A3%9D%E7%BD%AE%E7%A7%98%E5%AF%86%E9%80%9A%E8%A8%8A+microbit+physical+computing+coding+beginner+tutorial+micro%3Abit</x:v>
      </x:c>
      <x:c r="J260" s="38" t="str">
        <x:v>課前暖身</x:v>
      </x:c>
      <x:c r="K260" s="38" t="str">
        <x:v>5–12 分鐘</x:v>
      </x:c>
      <x:c r="L260" s="38" t="str">
        <x:v>先建立直覺；看完能說出 3 個關鍵詞</x:v>
      </x:c>
      <x:c r="M260" s="38" t="str">
        <x:v>□ 未挑選</x:v>
      </x:c>
      <x:c r="N260" s="38" t="str"/>
      <x:c r="O260" s="38" t="str"/>
    </x:row>
    <x:row r="261">
      <x:c r="A261" s="38" t="n">
        <x:v>87</x:v>
      </x:c>
      <x:c r="B261" s="38" t="str">
        <x:v>第 2 年</x:v>
      </x:c>
      <x:c r="C261" s="38" t="str">
        <x:v>M06 Maker Lab：micro:bit 電子與感測</x:v>
      </x:c>
      <x:c r="D261" s="38" t="n">
        <x:v>7</x:v>
      </x:c>
      <x:c r="E261" s="38" t="str">
        <x:v>Radio：兩台裝置秘密通訊</x:v>
      </x:c>
      <x:c r="F261" s="38" t="n">
        <x:v>2</x:v>
      </x:c>
      <x:c r="G261" s="38" t="str">
        <x:v>跟做實作／專案導向</x:v>
      </x:c>
      <x:c r="H261" s="38" t="str">
        <x:v>Radio 兩台裝置秘密通訊 理解頻道、訊息、傳送者與接收者 hands on project for kids microbit physical computing coding</x:v>
      </x:c>
      <x:c r="I261" s="38" t="str">
        <x:v>https://www.youtube.com/results?search_query=Radio+%E5%85%A9%E5%8F%B0%E8%A3%9D%E7%BD%AE%E7%A7%98%E5%AF%86%E9%80%9A%E8%A8%8A+%E7%90%86%E8%A7%A3%E9%A0%BB%E9%81%93%E3%80%81%E8%A8%8A%E6%81%AF%E3%80%81%E5%82%B3%E9%80%81%E8%80%85%E8%88%87%E6%8E%A5%E6%94%B6%E8%80%85+hands+on+project+for+kids+microbit+physical+computing+coding</x:v>
      </x:c>
      <x:c r="J261" s="38" t="str">
        <x:v>課中實作參考</x:v>
      </x:c>
      <x:c r="K261" s="38" t="str">
        <x:v>8–20 分鐘</x:v>
      </x:c>
      <x:c r="L261" s="38" t="str">
        <x:v>優先找有畫面操作、步驟清楚、可暫停跟做的版本</x:v>
      </x:c>
      <x:c r="M261" s="38" t="str">
        <x:v>□ 未挑選</x:v>
      </x:c>
      <x:c r="N261" s="38" t="str"/>
      <x:c r="O261" s="38" t="str"/>
    </x:row>
    <x:row r="262">
      <x:c r="A262" s="38" t="n">
        <x:v>87</x:v>
      </x:c>
      <x:c r="B262" s="38" t="str">
        <x:v>第 2 年</x:v>
      </x:c>
      <x:c r="C262" s="38" t="str">
        <x:v>M06 Maker Lab：micro:bit 電子與感測</x:v>
      </x:c>
      <x:c r="D262" s="38" t="n">
        <x:v>7</x:v>
      </x:c>
      <x:c r="E262" s="38" t="str">
        <x:v>Radio：兩台裝置秘密通訊</x:v>
      </x:c>
      <x:c r="F262" s="38" t="n">
        <x:v>3</x:v>
      </x:c>
      <x:c r="G262" s="38" t="str">
        <x:v>中文延伸／倫理安全</x:v>
      </x:c>
      <x:c r="H262" s="38" t="str">
        <x:v>Radio 兩台裝置秘密通訊 中文 教學 原理 安全 親子 microbit physical computing coding</x:v>
      </x:c>
      <x:c r="I262" s="38" t="str">
        <x:v>https://www.youtube.com/results?search_query=Radio+%E5%85%A9%E5%8F%B0%E8%A3%9D%E7%BD%AE%E7%A7%98%E5%AF%86%E9%80%9A%E8%A8%8A+%E4%B8%AD%E6%96%87+%E6%95%99%E5%AD%B8+%E5%8E%9F%E7%90%86+%E5%AE%89%E5%85%A8+%E8%A6%AA%E5%AD%90+microbit+physical+computing+coding</x:v>
      </x:c>
      <x:c r="J262" s="38" t="str">
        <x:v>課後延伸／親子討論</x:v>
      </x:c>
      <x:c r="K262" s="38" t="str">
        <x:v>6–15 分鐘</x:v>
      </x:c>
      <x:c r="L262" s="38" t="str">
        <x:v>補充應用、倫理、安全或真實案例；父子各說一個觀點</x:v>
      </x:c>
      <x:c r="M262" s="38" t="str">
        <x:v>□ 未挑選</x:v>
      </x:c>
      <x:c r="N262" s="38" t="str"/>
      <x:c r="O262" s="38" t="str"/>
    </x:row>
    <x:row r="263">
      <x:c r="A263" s="38" t="n">
        <x:v>88</x:v>
      </x:c>
      <x:c r="B263" s="38" t="str">
        <x:v>第 2 年</x:v>
      </x:c>
      <x:c r="C263" s="38" t="str">
        <x:v>M06 Maker Lab：micro:bit 電子與感測</x:v>
      </x:c>
      <x:c r="D263" s="38" t="n">
        <x:v>8</x:v>
      </x:c>
      <x:c r="E263" s="38" t="str">
        <x:v>音樂、節拍與蜂鳴器</x:v>
      </x:c>
      <x:c r="F263" s="38" t="n">
        <x:v>1</x:v>
      </x:c>
      <x:c r="G263" s="38" t="str">
        <x:v>概念入門／官方優先</x:v>
      </x:c>
      <x:c r="H263" s="38" t="str">
        <x:v>音樂、節拍與蜂鳴器 microbit physical computing coding beginner tutorial micro:bit</x:v>
      </x:c>
      <x:c r="I263" s="38" t="str">
        <x:v>https://www.youtube.com/results?search_query=%E9%9F%B3%E6%A8%82%E3%80%81%E7%AF%80%E6%8B%8D%E8%88%87%E8%9C%82%E9%B3%B4%E5%99%A8+microbit+physical+computing+coding+beginner+tutorial+micro%3Abit</x:v>
      </x:c>
      <x:c r="J263" s="38" t="str">
        <x:v>課前暖身</x:v>
      </x:c>
      <x:c r="K263" s="38" t="str">
        <x:v>5–12 分鐘</x:v>
      </x:c>
      <x:c r="L263" s="38" t="str">
        <x:v>先建立直覺；看完能說出 3 個關鍵詞</x:v>
      </x:c>
      <x:c r="M263" s="38" t="str">
        <x:v>□ 未挑選</x:v>
      </x:c>
      <x:c r="N263" s="38" t="str"/>
      <x:c r="O263" s="38" t="str"/>
    </x:row>
    <x:row r="264">
      <x:c r="A264" s="38" t="n">
        <x:v>88</x:v>
      </x:c>
      <x:c r="B264" s="38" t="str">
        <x:v>第 2 年</x:v>
      </x:c>
      <x:c r="C264" s="38" t="str">
        <x:v>M06 Maker Lab：micro:bit 電子與感測</x:v>
      </x:c>
      <x:c r="D264" s="38" t="n">
        <x:v>8</x:v>
      </x:c>
      <x:c r="E264" s="38" t="str">
        <x:v>音樂、節拍與蜂鳴器</x:v>
      </x:c>
      <x:c r="F264" s="38" t="n">
        <x:v>2</x:v>
      </x:c>
      <x:c r="G264" s="38" t="str">
        <x:v>跟做實作／專案導向</x:v>
      </x:c>
      <x:c r="H264" s="38" t="str">
        <x:v>音樂、節拍與蜂鳴器 用頻率、時值與序列控制聲音 hands on project for kids microbit physical computing coding</x:v>
      </x:c>
      <x:c r="I264" s="38" t="str">
        <x:v>https://www.youtube.com/results?search_query=%E9%9F%B3%E6%A8%82%E3%80%81%E7%AF%80%E6%8B%8D%E8%88%87%E8%9C%82%E9%B3%B4%E5%99%A8+%E7%94%A8%E9%A0%BB%E7%8E%87%E3%80%81%E6%99%82%E5%80%BC%E8%88%87%E5%BA%8F%E5%88%97%E6%8E%A7%E5%88%B6%E8%81%B2%E9%9F%B3+hands+on+project+for+kids+microbit+physical+computing+coding</x:v>
      </x:c>
      <x:c r="J264" s="38" t="str">
        <x:v>課中實作參考</x:v>
      </x:c>
      <x:c r="K264" s="38" t="str">
        <x:v>8–20 分鐘</x:v>
      </x:c>
      <x:c r="L264" s="38" t="str">
        <x:v>優先找有畫面操作、步驟清楚、可暫停跟做的版本</x:v>
      </x:c>
      <x:c r="M264" s="38" t="str">
        <x:v>□ 未挑選</x:v>
      </x:c>
      <x:c r="N264" s="38" t="str"/>
      <x:c r="O264" s="38" t="str"/>
    </x:row>
    <x:row r="265">
      <x:c r="A265" s="38" t="n">
        <x:v>88</x:v>
      </x:c>
      <x:c r="B265" s="38" t="str">
        <x:v>第 2 年</x:v>
      </x:c>
      <x:c r="C265" s="38" t="str">
        <x:v>M06 Maker Lab：micro:bit 電子與感測</x:v>
      </x:c>
      <x:c r="D265" s="38" t="n">
        <x:v>8</x:v>
      </x:c>
      <x:c r="E265" s="38" t="str">
        <x:v>音樂、節拍與蜂鳴器</x:v>
      </x:c>
      <x:c r="F265" s="38" t="n">
        <x:v>3</x:v>
      </x:c>
      <x:c r="G265" s="38" t="str">
        <x:v>中文延伸／倫理安全</x:v>
      </x:c>
      <x:c r="H265" s="38" t="str">
        <x:v>音樂、節拍與蜂鳴器 中文 教學 原理 安全 親子 microbit physical computing coding</x:v>
      </x:c>
      <x:c r="I265" s="38" t="str">
        <x:v>https://www.youtube.com/results?search_query=%E9%9F%B3%E6%A8%82%E3%80%81%E7%AF%80%E6%8B%8D%E8%88%87%E8%9C%82%E9%B3%B4%E5%99%A8+%E4%B8%AD%E6%96%87+%E6%95%99%E5%AD%B8+%E5%8E%9F%E7%90%86+%E5%AE%89%E5%85%A8+%E8%A6%AA%E5%AD%90+microbit+physical+computing+coding</x:v>
      </x:c>
      <x:c r="J265" s="38" t="str">
        <x:v>課後延伸／親子討論</x:v>
      </x:c>
      <x:c r="K265" s="38" t="str">
        <x:v>6–15 分鐘</x:v>
      </x:c>
      <x:c r="L265" s="38" t="str">
        <x:v>補充應用、倫理、安全或真實案例；父子各說一個觀點</x:v>
      </x:c>
      <x:c r="M265" s="38" t="str">
        <x:v>□ 未挑選</x:v>
      </x:c>
      <x:c r="N265" s="38" t="str"/>
      <x:c r="O265" s="38" t="str"/>
    </x:row>
    <x:row r="266">
      <x:c r="A266" s="38" t="n">
        <x:v>89</x:v>
      </x:c>
      <x:c r="B266" s="38" t="str">
        <x:v>第 2 年</x:v>
      </x:c>
      <x:c r="C266" s="38" t="str">
        <x:v>M06 Maker Lab：micro:bit 電子與感測</x:v>
      </x:c>
      <x:c r="D266" s="38" t="n">
        <x:v>9</x:v>
      </x:c>
      <x:c r="E266" s="38" t="str">
        <x:v>伺服馬達：讓程式真的動</x:v>
      </x:c>
      <x:c r="F266" s="38" t="n">
        <x:v>1</x:v>
      </x:c>
      <x:c r="G266" s="38" t="str">
        <x:v>概念入門／官方優先</x:v>
      </x:c>
      <x:c r="H266" s="38" t="str">
        <x:v>伺服馬達 讓程式真的動 microbit physical computing coding beginner tutorial micro:bit</x:v>
      </x:c>
      <x:c r="I266" s="38" t="str">
        <x:v>https://www.youtube.com/results?search_query=%E4%BC%BA%E6%9C%8D%E9%A6%AC%E9%81%94+%E8%AE%93%E7%A8%8B%E5%BC%8F%E7%9C%9F%E7%9A%84%E5%8B%95+microbit+physical+computing+coding+beginner+tutorial+micro%3Abit</x:v>
      </x:c>
      <x:c r="J266" s="38" t="str">
        <x:v>課前暖身</x:v>
      </x:c>
      <x:c r="K266" s="38" t="str">
        <x:v>5–12 分鐘</x:v>
      </x:c>
      <x:c r="L266" s="38" t="str">
        <x:v>先建立直覺；看完能說出 3 個關鍵詞</x:v>
      </x:c>
      <x:c r="M266" s="38" t="str">
        <x:v>□ 未挑選</x:v>
      </x:c>
      <x:c r="N266" s="38" t="str"/>
      <x:c r="O266" s="38" t="str"/>
    </x:row>
    <x:row r="267">
      <x:c r="A267" s="38" t="n">
        <x:v>89</x:v>
      </x:c>
      <x:c r="B267" s="38" t="str">
        <x:v>第 2 年</x:v>
      </x:c>
      <x:c r="C267" s="38" t="str">
        <x:v>M06 Maker Lab：micro:bit 電子與感測</x:v>
      </x:c>
      <x:c r="D267" s="38" t="n">
        <x:v>9</x:v>
      </x:c>
      <x:c r="E267" s="38" t="str">
        <x:v>伺服馬達：讓程式真的動</x:v>
      </x:c>
      <x:c r="F267" s="38" t="n">
        <x:v>2</x:v>
      </x:c>
      <x:c r="G267" s="38" t="str">
        <x:v>跟做實作／專案導向</x:v>
      </x:c>
      <x:c r="H267" s="38" t="str">
        <x:v>伺服馬達 讓程式真的動 理解角度、控制訊號與機構限制 hands on project for kids microbit physical computing coding</x:v>
      </x:c>
      <x:c r="I267" s="38" t="str">
        <x:v>https://www.youtube.com/results?search_query=%E4%BC%BA%E6%9C%8D%E9%A6%AC%E9%81%94+%E8%AE%93%E7%A8%8B%E5%BC%8F%E7%9C%9F%E7%9A%84%E5%8B%95+%E7%90%86%E8%A7%A3%E8%A7%92%E5%BA%A6%E3%80%81%E6%8E%A7%E5%88%B6%E8%A8%8A%E8%99%9F%E8%88%87%E6%A9%9F%E6%A7%8B%E9%99%90%E5%88%B6+hands+on+project+for+kids+microbit+physical+computing+coding</x:v>
      </x:c>
      <x:c r="J267" s="38" t="str">
        <x:v>課中實作參考</x:v>
      </x:c>
      <x:c r="K267" s="38" t="str">
        <x:v>8–20 分鐘</x:v>
      </x:c>
      <x:c r="L267" s="38" t="str">
        <x:v>優先找有畫面操作、步驟清楚、可暫停跟做的版本</x:v>
      </x:c>
      <x:c r="M267" s="38" t="str">
        <x:v>□ 未挑選</x:v>
      </x:c>
      <x:c r="N267" s="38" t="str"/>
      <x:c r="O267" s="38" t="str"/>
    </x:row>
    <x:row r="268">
      <x:c r="A268" s="38" t="n">
        <x:v>89</x:v>
      </x:c>
      <x:c r="B268" s="38" t="str">
        <x:v>第 2 年</x:v>
      </x:c>
      <x:c r="C268" s="38" t="str">
        <x:v>M06 Maker Lab：micro:bit 電子與感測</x:v>
      </x:c>
      <x:c r="D268" s="38" t="n">
        <x:v>9</x:v>
      </x:c>
      <x:c r="E268" s="38" t="str">
        <x:v>伺服馬達：讓程式真的動</x:v>
      </x:c>
      <x:c r="F268" s="38" t="n">
        <x:v>3</x:v>
      </x:c>
      <x:c r="G268" s="38" t="str">
        <x:v>中文延伸／倫理安全</x:v>
      </x:c>
      <x:c r="H268" s="38" t="str">
        <x:v>伺服馬達 讓程式真的動 中文 教學 原理 安全 親子 microbit physical computing coding</x:v>
      </x:c>
      <x:c r="I268" s="38" t="str">
        <x:v>https://www.youtube.com/results?search_query=%E4%BC%BA%E6%9C%8D%E9%A6%AC%E9%81%94+%E8%AE%93%E7%A8%8B%E5%BC%8F%E7%9C%9F%E7%9A%84%E5%8B%95+%E4%B8%AD%E6%96%87+%E6%95%99%E5%AD%B8+%E5%8E%9F%E7%90%86+%E5%AE%89%E5%85%A8+%E8%A6%AA%E5%AD%90+microbit+physical+computing+coding</x:v>
      </x:c>
      <x:c r="J268" s="38" t="str">
        <x:v>課後延伸／親子討論</x:v>
      </x:c>
      <x:c r="K268" s="38" t="str">
        <x:v>6–15 分鐘</x:v>
      </x:c>
      <x:c r="L268" s="38" t="str">
        <x:v>補充應用、倫理、安全或真實案例；父子各說一個觀點</x:v>
      </x:c>
      <x:c r="M268" s="38" t="str">
        <x:v>□ 未挑選</x:v>
      </x:c>
      <x:c r="N268" s="38" t="str"/>
      <x:c r="O268" s="38" t="str"/>
    </x:row>
    <x:row r="269">
      <x:c r="A269" s="38" t="n">
        <x:v>90</x:v>
      </x:c>
      <x:c r="B269" s="38" t="str">
        <x:v>第 2 年</x:v>
      </x:c>
      <x:c r="C269" s="38" t="str">
        <x:v>M06 Maker Lab：micro:bit 電子與感測</x:v>
      </x:c>
      <x:c r="D269" s="38" t="n">
        <x:v>10</x:v>
      </x:c>
      <x:c r="E269" s="38" t="str">
        <x:v>資料記錄：環境偵探</x:v>
      </x:c>
      <x:c r="F269" s="38" t="n">
        <x:v>1</x:v>
      </x:c>
      <x:c r="G269" s="38" t="str">
        <x:v>概念入門／官方優先</x:v>
      </x:c>
      <x:c r="H269" s="38" t="str">
        <x:v>資料記錄 環境偵探 microbit physical computing coding beginner tutorial micro:bit</x:v>
      </x:c>
      <x:c r="I269" s="38" t="str">
        <x:v>https://www.youtube.com/results?search_query=%E8%B3%87%E6%96%99%E8%A8%98%E9%8C%84+%E7%92%B0%E5%A2%83%E5%81%B5%E6%8E%A2+microbit+physical+computing+coding+beginner+tutorial+micro%3Abit</x:v>
      </x:c>
      <x:c r="J269" s="38" t="str">
        <x:v>課前暖身</x:v>
      </x:c>
      <x:c r="K269" s="38" t="str">
        <x:v>5–12 分鐘</x:v>
      </x:c>
      <x:c r="L269" s="38" t="str">
        <x:v>先建立直覺；看完能說出 3 個關鍵詞</x:v>
      </x:c>
      <x:c r="M269" s="38" t="str">
        <x:v>□ 未挑選</x:v>
      </x:c>
      <x:c r="N269" s="38" t="str"/>
      <x:c r="O269" s="38" t="str"/>
    </x:row>
    <x:row r="270">
      <x:c r="A270" s="38" t="n">
        <x:v>90</x:v>
      </x:c>
      <x:c r="B270" s="38" t="str">
        <x:v>第 2 年</x:v>
      </x:c>
      <x:c r="C270" s="38" t="str">
        <x:v>M06 Maker Lab：micro:bit 電子與感測</x:v>
      </x:c>
      <x:c r="D270" s="38" t="n">
        <x:v>10</x:v>
      </x:c>
      <x:c r="E270" s="38" t="str">
        <x:v>資料記錄：環境偵探</x:v>
      </x:c>
      <x:c r="F270" s="38" t="n">
        <x:v>2</x:v>
      </x:c>
      <x:c r="G270" s="38" t="str">
        <x:v>跟做實作／專案導向</x:v>
      </x:c>
      <x:c r="H270" s="38" t="str">
        <x:v>資料記錄 環境偵探 定時取樣、記錄、標註與比較趨勢 hands on project for kids microbit physical computing coding</x:v>
      </x:c>
      <x:c r="I270" s="38" t="str">
        <x:v>https://www.youtube.com/results?search_query=%E8%B3%87%E6%96%99%E8%A8%98%E9%8C%84+%E7%92%B0%E5%A2%83%E5%81%B5%E6%8E%A2+%E5%AE%9A%E6%99%82%E5%8F%96%E6%A8%A3%E3%80%81%E8%A8%98%E9%8C%84%E3%80%81%E6%A8%99%E8%A8%BB%E8%88%87%E6%AF%94%E8%BC%83%E8%B6%A8%E5%8B%A2+hands+on+project+for+kids+microbit+physical+computing+coding</x:v>
      </x:c>
      <x:c r="J270" s="38" t="str">
        <x:v>課中實作參考</x:v>
      </x:c>
      <x:c r="K270" s="38" t="str">
        <x:v>8–20 分鐘</x:v>
      </x:c>
      <x:c r="L270" s="38" t="str">
        <x:v>優先找有畫面操作、步驟清楚、可暫停跟做的版本</x:v>
      </x:c>
      <x:c r="M270" s="38" t="str">
        <x:v>□ 未挑選</x:v>
      </x:c>
      <x:c r="N270" s="38" t="str"/>
      <x:c r="O270" s="38" t="str"/>
    </x:row>
    <x:row r="271">
      <x:c r="A271" s="38" t="n">
        <x:v>90</x:v>
      </x:c>
      <x:c r="B271" s="38" t="str">
        <x:v>第 2 年</x:v>
      </x:c>
      <x:c r="C271" s="38" t="str">
        <x:v>M06 Maker Lab：micro:bit 電子與感測</x:v>
      </x:c>
      <x:c r="D271" s="38" t="n">
        <x:v>10</x:v>
      </x:c>
      <x:c r="E271" s="38" t="str">
        <x:v>資料記錄：環境偵探</x:v>
      </x:c>
      <x:c r="F271" s="38" t="n">
        <x:v>3</x:v>
      </x:c>
      <x:c r="G271" s="38" t="str">
        <x:v>中文延伸／倫理安全</x:v>
      </x:c>
      <x:c r="H271" s="38" t="str">
        <x:v>資料記錄 環境偵探 中文 教學 原理 安全 親子 microbit physical computing coding</x:v>
      </x:c>
      <x:c r="I271" s="38" t="str">
        <x:v>https://www.youtube.com/results?search_query=%E8%B3%87%E6%96%99%E8%A8%98%E9%8C%84+%E7%92%B0%E5%A2%83%E5%81%B5%E6%8E%A2+%E4%B8%AD%E6%96%87+%E6%95%99%E5%AD%B8+%E5%8E%9F%E7%90%86+%E5%AE%89%E5%85%A8+%E8%A6%AA%E5%AD%90+microbit+physical+computing+coding</x:v>
      </x:c>
      <x:c r="J271" s="38" t="str">
        <x:v>課後延伸／親子討論</x:v>
      </x:c>
      <x:c r="K271" s="38" t="str">
        <x:v>6–15 分鐘</x:v>
      </x:c>
      <x:c r="L271" s="38" t="str">
        <x:v>補充應用、倫理、安全或真實案例；父子各說一個觀點</x:v>
      </x:c>
      <x:c r="M271" s="38" t="str">
        <x:v>□ 未挑選</x:v>
      </x:c>
      <x:c r="N271" s="38" t="str"/>
      <x:c r="O271" s="38" t="str"/>
    </x:row>
    <x:row r="272">
      <x:c r="A272" s="38" t="n">
        <x:v>91</x:v>
      </x:c>
      <x:c r="B272" s="38" t="str">
        <x:v>第 2 年</x:v>
      </x:c>
      <x:c r="C272" s="38" t="str">
        <x:v>M06 Maker Lab：micro:bit 電子與感測</x:v>
      </x:c>
      <x:c r="D272" s="38" t="n">
        <x:v>11</x:v>
      </x:c>
      <x:c r="E272" s="38" t="str">
        <x:v>從積木切換到 Python</x:v>
      </x:c>
      <x:c r="F272" s="38" t="n">
        <x:v>1</x:v>
      </x:c>
      <x:c r="G272" s="38" t="str">
        <x:v>概念入門／官方優先</x:v>
      </x:c>
      <x:c r="H272" s="38" t="str">
        <x:v>從積木切換到 Python microbit physical computing coding beginner tutorial micro:bit</x:v>
      </x:c>
      <x:c r="I272" s="38" t="str">
        <x:v>https://www.youtube.com/results?search_query=%E5%BE%9E%E7%A9%8D%E6%9C%A8%E5%88%87%E6%8F%9B%E5%88%B0+Python+microbit+physical+computing+coding+beginner+tutorial+micro%3Abit</x:v>
      </x:c>
      <x:c r="J272" s="38" t="str">
        <x:v>課前暖身</x:v>
      </x:c>
      <x:c r="K272" s="38" t="str">
        <x:v>5–12 分鐘</x:v>
      </x:c>
      <x:c r="L272" s="38" t="str">
        <x:v>先建立直覺；看完能說出 3 個關鍵詞</x:v>
      </x:c>
      <x:c r="M272" s="38" t="str">
        <x:v>□ 未挑選</x:v>
      </x:c>
      <x:c r="N272" s="38" t="str"/>
      <x:c r="O272" s="38" t="str"/>
    </x:row>
    <x:row r="273">
      <x:c r="A273" s="38" t="n">
        <x:v>91</x:v>
      </x:c>
      <x:c r="B273" s="38" t="str">
        <x:v>第 2 年</x:v>
      </x:c>
      <x:c r="C273" s="38" t="str">
        <x:v>M06 Maker Lab：micro:bit 電子與感測</x:v>
      </x:c>
      <x:c r="D273" s="38" t="n">
        <x:v>11</x:v>
      </x:c>
      <x:c r="E273" s="38" t="str">
        <x:v>從積木切換到 Python</x:v>
      </x:c>
      <x:c r="F273" s="38" t="n">
        <x:v>2</x:v>
      </x:c>
      <x:c r="G273" s="38" t="str">
        <x:v>跟做實作／專案導向</x:v>
      </x:c>
      <x:c r="H273" s="38" t="str">
        <x:v>從積木切換到 Python 比較同一程式的 Blocks 與文字語法 hands on project for kids microbit physical computing coding</x:v>
      </x:c>
      <x:c r="I273" s="38" t="str">
        <x:v>https://www.youtube.com/results?search_query=%E5%BE%9E%E7%A9%8D%E6%9C%A8%E5%88%87%E6%8F%9B%E5%88%B0+Python+%E6%AF%94%E8%BC%83%E5%90%8C%E4%B8%80%E7%A8%8B%E5%BC%8F%E7%9A%84+Blocks+%E8%88%87%E6%96%87%E5%AD%97%E8%AA%9E%E6%B3%95+hands+on+project+for+kids+microbit+physical+computing+coding</x:v>
      </x:c>
      <x:c r="J273" s="38" t="str">
        <x:v>課中實作參考</x:v>
      </x:c>
      <x:c r="K273" s="38" t="str">
        <x:v>8–20 分鐘</x:v>
      </x:c>
      <x:c r="L273" s="38" t="str">
        <x:v>優先找有畫面操作、步驟清楚、可暫停跟做的版本</x:v>
      </x:c>
      <x:c r="M273" s="38" t="str">
        <x:v>□ 未挑選</x:v>
      </x:c>
      <x:c r="N273" s="38" t="str"/>
      <x:c r="O273" s="38" t="str"/>
    </x:row>
    <x:row r="274">
      <x:c r="A274" s="38" t="n">
        <x:v>91</x:v>
      </x:c>
      <x:c r="B274" s="38" t="str">
        <x:v>第 2 年</x:v>
      </x:c>
      <x:c r="C274" s="38" t="str">
        <x:v>M06 Maker Lab：micro:bit 電子與感測</x:v>
      </x:c>
      <x:c r="D274" s="38" t="n">
        <x:v>11</x:v>
      </x:c>
      <x:c r="E274" s="38" t="str">
        <x:v>從積木切換到 Python</x:v>
      </x:c>
      <x:c r="F274" s="38" t="n">
        <x:v>3</x:v>
      </x:c>
      <x:c r="G274" s="38" t="str">
        <x:v>中文延伸／倫理安全</x:v>
      </x:c>
      <x:c r="H274" s="38" t="str">
        <x:v>從積木切換到 Python 中文 教學 原理 安全 親子 microbit physical computing coding</x:v>
      </x:c>
      <x:c r="I274" s="38" t="str">
        <x:v>https://www.youtube.com/results?search_query=%E5%BE%9E%E7%A9%8D%E6%9C%A8%E5%88%87%E6%8F%9B%E5%88%B0+Python+%E4%B8%AD%E6%96%87+%E6%95%99%E5%AD%B8+%E5%8E%9F%E7%90%86+%E5%AE%89%E5%85%A8+%E8%A6%AA%E5%AD%90+microbit+physical+computing+coding</x:v>
      </x:c>
      <x:c r="J274" s="38" t="str">
        <x:v>課後延伸／親子討論</x:v>
      </x:c>
      <x:c r="K274" s="38" t="str">
        <x:v>6–15 分鐘</x:v>
      </x:c>
      <x:c r="L274" s="38" t="str">
        <x:v>補充應用、倫理、安全或真實案例；父子各說一個觀點</x:v>
      </x:c>
      <x:c r="M274" s="38" t="str">
        <x:v>□ 未挑選</x:v>
      </x:c>
      <x:c r="N274" s="38" t="str"/>
      <x:c r="O274" s="38" t="str"/>
    </x:row>
    <x:row r="275">
      <x:c r="A275" s="38" t="n">
        <x:v>92</x:v>
      </x:c>
      <x:c r="B275" s="38" t="str">
        <x:v>第 2 年</x:v>
      </x:c>
      <x:c r="C275" s="38" t="str">
        <x:v>M06 Maker Lab：micro:bit 電子與感測</x:v>
      </x:c>
      <x:c r="D275" s="38" t="n">
        <x:v>12</x:v>
      </x:c>
      <x:c r="E275" s="38" t="str">
        <x:v>狀態機：裝置現在在做什麼</x:v>
      </x:c>
      <x:c r="F275" s="38" t="n">
        <x:v>1</x:v>
      </x:c>
      <x:c r="G275" s="38" t="str">
        <x:v>概念入門／官方優先</x:v>
      </x:c>
      <x:c r="H275" s="38" t="str">
        <x:v>狀態機 裝置現在在做什麼 microbit physical computing coding beginner tutorial micro:bit</x:v>
      </x:c>
      <x:c r="I275" s="38" t="str">
        <x:v>https://www.youtube.com/results?search_query=%E7%8B%80%E6%85%8B%E6%A9%9F+%E8%A3%9D%E7%BD%AE%E7%8F%BE%E5%9C%A8%E5%9C%A8%E5%81%9A%E4%BB%80%E9%BA%BC+microbit+physical+computing+coding+beginner+tutorial+micro%3Abit</x:v>
      </x:c>
      <x:c r="J275" s="38" t="str">
        <x:v>課前暖身</x:v>
      </x:c>
      <x:c r="K275" s="38" t="str">
        <x:v>5–12 分鐘</x:v>
      </x:c>
      <x:c r="L275" s="38" t="str">
        <x:v>先建立直覺；看完能說出 3 個關鍵詞</x:v>
      </x:c>
      <x:c r="M275" s="38" t="str">
        <x:v>□ 未挑選</x:v>
      </x:c>
      <x:c r="N275" s="38" t="str"/>
      <x:c r="O275" s="38" t="str"/>
    </x:row>
    <x:row r="276">
      <x:c r="A276" s="38" t="n">
        <x:v>92</x:v>
      </x:c>
      <x:c r="B276" s="38" t="str">
        <x:v>第 2 年</x:v>
      </x:c>
      <x:c r="C276" s="38" t="str">
        <x:v>M06 Maker Lab：micro:bit 電子與感測</x:v>
      </x:c>
      <x:c r="D276" s="38" t="n">
        <x:v>12</x:v>
      </x:c>
      <x:c r="E276" s="38" t="str">
        <x:v>狀態機：裝置現在在做什麼</x:v>
      </x:c>
      <x:c r="F276" s="38" t="n">
        <x:v>2</x:v>
      </x:c>
      <x:c r="G276" s="38" t="str">
        <x:v>跟做實作／專案導向</x:v>
      </x:c>
      <x:c r="H276" s="38" t="str">
        <x:v>狀態機 裝置現在在做什麼 以待機、警戒、警報等狀態管理複雜流程 hands on project for kids microbit physical computing coding</x:v>
      </x:c>
      <x:c r="I276" s="38" t="str">
        <x:v>https://www.youtube.com/results?search_query=%E7%8B%80%E6%85%8B%E6%A9%9F+%E8%A3%9D%E7%BD%AE%E7%8F%BE%E5%9C%A8%E5%9C%A8%E5%81%9A%E4%BB%80%E9%BA%BC+%E4%BB%A5%E5%BE%85%E6%A9%9F%E3%80%81%E8%AD%A6%E6%88%92%E3%80%81%E8%AD%A6%E5%A0%B1%E7%AD%89%E7%8B%80%E6%85%8B%E7%AE%A1%E7%90%86%E8%A4%87%E9%9B%9C%E6%B5%81%E7%A8%8B+hands+on+project+for+kids+microbit+physical+computing+coding</x:v>
      </x:c>
      <x:c r="J276" s="38" t="str">
        <x:v>課中實作參考</x:v>
      </x:c>
      <x:c r="K276" s="38" t="str">
        <x:v>8–20 分鐘</x:v>
      </x:c>
      <x:c r="L276" s="38" t="str">
        <x:v>優先找有畫面操作、步驟清楚、可暫停跟做的版本</x:v>
      </x:c>
      <x:c r="M276" s="38" t="str">
        <x:v>□ 未挑選</x:v>
      </x:c>
      <x:c r="N276" s="38" t="str"/>
      <x:c r="O276" s="38" t="str"/>
    </x:row>
    <x:row r="277">
      <x:c r="A277" s="38" t="n">
        <x:v>92</x:v>
      </x:c>
      <x:c r="B277" s="38" t="str">
        <x:v>第 2 年</x:v>
      </x:c>
      <x:c r="C277" s="38" t="str">
        <x:v>M06 Maker Lab：micro:bit 電子與感測</x:v>
      </x:c>
      <x:c r="D277" s="38" t="n">
        <x:v>12</x:v>
      </x:c>
      <x:c r="E277" s="38" t="str">
        <x:v>狀態機：裝置現在在做什麼</x:v>
      </x:c>
      <x:c r="F277" s="38" t="n">
        <x:v>3</x:v>
      </x:c>
      <x:c r="G277" s="38" t="str">
        <x:v>中文延伸／倫理安全</x:v>
      </x:c>
      <x:c r="H277" s="38" t="str">
        <x:v>狀態機 裝置現在在做什麼 中文 教學 原理 安全 親子 microbit physical computing coding</x:v>
      </x:c>
      <x:c r="I277" s="38" t="str">
        <x:v>https://www.youtube.com/results?search_query=%E7%8B%80%E6%85%8B%E6%A9%9F+%E8%A3%9D%E7%BD%AE%E7%8F%BE%E5%9C%A8%E5%9C%A8%E5%81%9A%E4%BB%80%E9%BA%BC+%E4%B8%AD%E6%96%87+%E6%95%99%E5%AD%B8+%E5%8E%9F%E7%90%86+%E5%AE%89%E5%85%A8+%E8%A6%AA%E5%AD%90+microbit+physical+computing+coding</x:v>
      </x:c>
      <x:c r="J277" s="38" t="str">
        <x:v>課後延伸／親子討論</x:v>
      </x:c>
      <x:c r="K277" s="38" t="str">
        <x:v>6–15 分鐘</x:v>
      </x:c>
      <x:c r="L277" s="38" t="str">
        <x:v>補充應用、倫理、安全或真實案例；父子各說一個觀點</x:v>
      </x:c>
      <x:c r="M277" s="38" t="str">
        <x:v>□ 未挑選</x:v>
      </x:c>
      <x:c r="N277" s="38" t="str"/>
      <x:c r="O277" s="38" t="str"/>
    </x:row>
    <x:row r="278">
      <x:c r="A278" s="38" t="n">
        <x:v>93</x:v>
      </x:c>
      <x:c r="B278" s="38" t="str">
        <x:v>第 2 年</x:v>
      </x:c>
      <x:c r="C278" s="38" t="str">
        <x:v>M06 Maker Lab：micro:bit 電子與感測</x:v>
      </x:c>
      <x:c r="D278" s="38" t="n">
        <x:v>13</x:v>
      </x:c>
      <x:c r="E278" s="38" t="str">
        <x:v>可穿戴裝置企劃</x:v>
      </x:c>
      <x:c r="F278" s="38" t="n">
        <x:v>1</x:v>
      </x:c>
      <x:c r="G278" s="38" t="str">
        <x:v>概念入門／官方優先</x:v>
      </x:c>
      <x:c r="H278" s="38" t="str">
        <x:v>可穿戴裝置企劃 microbit physical computing coding beginner tutorial micro:bit</x:v>
      </x:c>
      <x:c r="I278" s="38" t="str">
        <x:v>https://www.youtube.com/results?search_query=%E5%8F%AF%E7%A9%BF%E6%88%B4%E8%A3%9D%E7%BD%AE%E4%BC%81%E5%8A%83+microbit+physical+computing+coding+beginner+tutorial+micro%3Abit</x:v>
      </x:c>
      <x:c r="J278" s="38" t="str">
        <x:v>課前暖身</x:v>
      </x:c>
      <x:c r="K278" s="38" t="str">
        <x:v>5–12 分鐘</x:v>
      </x:c>
      <x:c r="L278" s="38" t="str">
        <x:v>先建立直覺；看完能說出 3 個關鍵詞</x:v>
      </x:c>
      <x:c r="M278" s="38" t="str">
        <x:v>□ 未挑選</x:v>
      </x:c>
      <x:c r="N278" s="38" t="str"/>
      <x:c r="O278" s="38" t="str"/>
    </x:row>
    <x:row r="279">
      <x:c r="A279" s="38" t="n">
        <x:v>93</x:v>
      </x:c>
      <x:c r="B279" s="38" t="str">
        <x:v>第 2 年</x:v>
      </x:c>
      <x:c r="C279" s="38" t="str">
        <x:v>M06 Maker Lab：micro:bit 電子與感測</x:v>
      </x:c>
      <x:c r="D279" s="38" t="n">
        <x:v>13</x:v>
      </x:c>
      <x:c r="E279" s="38" t="str">
        <x:v>可穿戴裝置企劃</x:v>
      </x:c>
      <x:c r="F279" s="38" t="n">
        <x:v>2</x:v>
      </x:c>
      <x:c r="G279" s="38" t="str">
        <x:v>跟做實作／專案導向</x:v>
      </x:c>
      <x:c r="H279" s="38" t="str">
        <x:v>可穿戴裝置企劃 從使用情境決定感測、回饋、電源與外型 hands on project for kids microbit physical computing coding</x:v>
      </x:c>
      <x:c r="I279" s="38" t="str">
        <x:v>https://www.youtube.com/results?search_query=%E5%8F%AF%E7%A9%BF%E6%88%B4%E8%A3%9D%E7%BD%AE%E4%BC%81%E5%8A%83+%E5%BE%9E%E4%BD%BF%E7%94%A8%E6%83%85%E5%A2%83%E6%B1%BA%E5%AE%9A%E6%84%9F%E6%B8%AC%E3%80%81%E5%9B%9E%E9%A5%8B%E3%80%81%E9%9B%BB%E6%BA%90%E8%88%87%E5%A4%96%E5%9E%8B+hands+on+project+for+kids+microbit+physical+computing+coding</x:v>
      </x:c>
      <x:c r="J279" s="38" t="str">
        <x:v>課中實作參考</x:v>
      </x:c>
      <x:c r="K279" s="38" t="str">
        <x:v>8–20 分鐘</x:v>
      </x:c>
      <x:c r="L279" s="38" t="str">
        <x:v>優先找有畫面操作、步驟清楚、可暫停跟做的版本</x:v>
      </x:c>
      <x:c r="M279" s="38" t="str">
        <x:v>□ 未挑選</x:v>
      </x:c>
      <x:c r="N279" s="38" t="str"/>
      <x:c r="O279" s="38" t="str"/>
    </x:row>
    <x:row r="280">
      <x:c r="A280" s="38" t="n">
        <x:v>93</x:v>
      </x:c>
      <x:c r="B280" s="38" t="str">
        <x:v>第 2 年</x:v>
      </x:c>
      <x:c r="C280" s="38" t="str">
        <x:v>M06 Maker Lab：micro:bit 電子與感測</x:v>
      </x:c>
      <x:c r="D280" s="38" t="n">
        <x:v>13</x:v>
      </x:c>
      <x:c r="E280" s="38" t="str">
        <x:v>可穿戴裝置企劃</x:v>
      </x:c>
      <x:c r="F280" s="38" t="n">
        <x:v>3</x:v>
      </x:c>
      <x:c r="G280" s="38" t="str">
        <x:v>中文延伸／倫理安全</x:v>
      </x:c>
      <x:c r="H280" s="38" t="str">
        <x:v>可穿戴裝置企劃 中文 教學 原理 安全 親子 microbit physical computing coding</x:v>
      </x:c>
      <x:c r="I280" s="38" t="str">
        <x:v>https://www.youtube.com/results?search_query=%E5%8F%AF%E7%A9%BF%E6%88%B4%E8%A3%9D%E7%BD%AE%E4%BC%81%E5%8A%83+%E4%B8%AD%E6%96%87+%E6%95%99%E5%AD%B8+%E5%8E%9F%E7%90%86+%E5%AE%89%E5%85%A8+%E8%A6%AA%E5%AD%90+microbit+physical+computing+coding</x:v>
      </x:c>
      <x:c r="J280" s="38" t="str">
        <x:v>課後延伸／親子討論</x:v>
      </x:c>
      <x:c r="K280" s="38" t="str">
        <x:v>6–15 分鐘</x:v>
      </x:c>
      <x:c r="L280" s="38" t="str">
        <x:v>補充應用、倫理、安全或真實案例；父子各說一個觀點</x:v>
      </x:c>
      <x:c r="M280" s="38" t="str">
        <x:v>□ 未挑選</x:v>
      </x:c>
      <x:c r="N280" s="38" t="str"/>
      <x:c r="O280" s="38" t="str"/>
    </x:row>
    <x:row r="281">
      <x:c r="A281" s="38" t="n">
        <x:v>94</x:v>
      </x:c>
      <x:c r="B281" s="38" t="str">
        <x:v>第 2 年</x:v>
      </x:c>
      <x:c r="C281" s="38" t="str">
        <x:v>M06 Maker Lab：micro:bit 電子與感測</x:v>
      </x:c>
      <x:c r="D281" s="38" t="n">
        <x:v>14</x:v>
      </x:c>
      <x:c r="E281" s="38" t="str">
        <x:v>智慧房間原型</x:v>
      </x:c>
      <x:c r="F281" s="38" t="n">
        <x:v>1</x:v>
      </x:c>
      <x:c r="G281" s="38" t="str">
        <x:v>概念入門／官方優先</x:v>
      </x:c>
      <x:c r="H281" s="38" t="str">
        <x:v>智慧房間原型 microbit physical computing coding beginner tutorial micro:bit</x:v>
      </x:c>
      <x:c r="I281" s="38" t="str">
        <x:v>https://www.youtube.com/results?search_query=%E6%99%BA%E6%85%A7%E6%88%BF%E9%96%93%E5%8E%9F%E5%9E%8B+microbit+physical+computing+coding+beginner+tutorial+micro%3Abit</x:v>
      </x:c>
      <x:c r="J281" s="38" t="str">
        <x:v>課前暖身</x:v>
      </x:c>
      <x:c r="K281" s="38" t="str">
        <x:v>5–12 分鐘</x:v>
      </x:c>
      <x:c r="L281" s="38" t="str">
        <x:v>先建立直覺；看完能說出 3 個關鍵詞</x:v>
      </x:c>
      <x:c r="M281" s="38" t="str">
        <x:v>□ 未挑選</x:v>
      </x:c>
      <x:c r="N281" s="38" t="str"/>
      <x:c r="O281" s="38" t="str"/>
    </x:row>
    <x:row r="282">
      <x:c r="A282" s="38" t="n">
        <x:v>94</x:v>
      </x:c>
      <x:c r="B282" s="38" t="str">
        <x:v>第 2 年</x:v>
      </x:c>
      <x:c r="C282" s="38" t="str">
        <x:v>M06 Maker Lab：micro:bit 電子與感測</x:v>
      </x:c>
      <x:c r="D282" s="38" t="n">
        <x:v>14</x:v>
      </x:c>
      <x:c r="E282" s="38" t="str">
        <x:v>智慧房間原型</x:v>
      </x:c>
      <x:c r="F282" s="38" t="n">
        <x:v>2</x:v>
      </x:c>
      <x:c r="G282" s="38" t="str">
        <x:v>跟做實作／專案導向</x:v>
      </x:c>
      <x:c r="H282" s="38" t="str">
        <x:v>智慧房間原型 整合感測、規則與輸出解決生活問題 hands on project for kids microbit physical computing coding</x:v>
      </x:c>
      <x:c r="I282" s="38" t="str">
        <x:v>https://www.youtube.com/results?search_query=%E6%99%BA%E6%85%A7%E6%88%BF%E9%96%93%E5%8E%9F%E5%9E%8B+%E6%95%B4%E5%90%88%E6%84%9F%E6%B8%AC%E3%80%81%E8%A6%8F%E5%89%87%E8%88%87%E8%BC%B8%E5%87%BA%E8%A7%A3%E6%B1%BA%E7%94%9F%E6%B4%BB%E5%95%8F%E9%A1%8C+hands+on+project+for+kids+microbit+physical+computing+coding</x:v>
      </x:c>
      <x:c r="J282" s="38" t="str">
        <x:v>課中實作參考</x:v>
      </x:c>
      <x:c r="K282" s="38" t="str">
        <x:v>8–20 分鐘</x:v>
      </x:c>
      <x:c r="L282" s="38" t="str">
        <x:v>優先找有畫面操作、步驟清楚、可暫停跟做的版本</x:v>
      </x:c>
      <x:c r="M282" s="38" t="str">
        <x:v>□ 未挑選</x:v>
      </x:c>
      <x:c r="N282" s="38" t="str"/>
      <x:c r="O282" s="38" t="str"/>
    </x:row>
    <x:row r="283">
      <x:c r="A283" s="38" t="n">
        <x:v>94</x:v>
      </x:c>
      <x:c r="B283" s="38" t="str">
        <x:v>第 2 年</x:v>
      </x:c>
      <x:c r="C283" s="38" t="str">
        <x:v>M06 Maker Lab：micro:bit 電子與感測</x:v>
      </x:c>
      <x:c r="D283" s="38" t="n">
        <x:v>14</x:v>
      </x:c>
      <x:c r="E283" s="38" t="str">
        <x:v>智慧房間原型</x:v>
      </x:c>
      <x:c r="F283" s="38" t="n">
        <x:v>3</x:v>
      </x:c>
      <x:c r="G283" s="38" t="str">
        <x:v>中文延伸／倫理安全</x:v>
      </x:c>
      <x:c r="H283" s="38" t="str">
        <x:v>智慧房間原型 中文 教學 原理 安全 親子 microbit physical computing coding</x:v>
      </x:c>
      <x:c r="I283" s="38" t="str">
        <x:v>https://www.youtube.com/results?search_query=%E6%99%BA%E6%85%A7%E6%88%BF%E9%96%93%E5%8E%9F%E5%9E%8B+%E4%B8%AD%E6%96%87+%E6%95%99%E5%AD%B8+%E5%8E%9F%E7%90%86+%E5%AE%89%E5%85%A8+%E8%A6%AA%E5%AD%90+microbit+physical+computing+coding</x:v>
      </x:c>
      <x:c r="J283" s="38" t="str">
        <x:v>課後延伸／親子討論</x:v>
      </x:c>
      <x:c r="K283" s="38" t="str">
        <x:v>6–15 分鐘</x:v>
      </x:c>
      <x:c r="L283" s="38" t="str">
        <x:v>補充應用、倫理、安全或真實案例；父子各說一個觀點</x:v>
      </x:c>
      <x:c r="M283" s="38" t="str">
        <x:v>□ 未挑選</x:v>
      </x:c>
      <x:c r="N283" s="38" t="str"/>
      <x:c r="O283" s="38" t="str"/>
    </x:row>
    <x:row r="284">
      <x:c r="A284" s="38" t="n">
        <x:v>95</x:v>
      </x:c>
      <x:c r="B284" s="38" t="str">
        <x:v>第 2 年</x:v>
      </x:c>
      <x:c r="C284" s="38" t="str">
        <x:v>M06 Maker Lab：micro:bit 電子與感測</x:v>
      </x:c>
      <x:c r="D284" s="38" t="n">
        <x:v>15</x:v>
      </x:c>
      <x:c r="E284" s="38" t="str">
        <x:v>壓力測試與故障排除</x:v>
      </x:c>
      <x:c r="F284" s="38" t="n">
        <x:v>1</x:v>
      </x:c>
      <x:c r="G284" s="38" t="str">
        <x:v>概念入門／官方優先</x:v>
      </x:c>
      <x:c r="H284" s="38" t="str">
        <x:v>壓力測試與故障排除 microbit physical computing coding beginner tutorial micro:bit</x:v>
      </x:c>
      <x:c r="I284" s="38" t="str">
        <x:v>https://www.youtube.com/results?search_query=%E5%A3%93%E5%8A%9B%E6%B8%AC%E8%A9%A6%E8%88%87%E6%95%85%E9%9A%9C%E6%8E%92%E9%99%A4+microbit+physical+computing+coding+beginner+tutorial+micro%3Abit</x:v>
      </x:c>
      <x:c r="J284" s="38" t="str">
        <x:v>課前暖身</x:v>
      </x:c>
      <x:c r="K284" s="38" t="str">
        <x:v>5–12 分鐘</x:v>
      </x:c>
      <x:c r="L284" s="38" t="str">
        <x:v>先建立直覺；看完能說出 3 個關鍵詞</x:v>
      </x:c>
      <x:c r="M284" s="38" t="str">
        <x:v>□ 未挑選</x:v>
      </x:c>
      <x:c r="N284" s="38" t="str"/>
      <x:c r="O284" s="38" t="str"/>
    </x:row>
    <x:row r="285">
      <x:c r="A285" s="38" t="n">
        <x:v>95</x:v>
      </x:c>
      <x:c r="B285" s="38" t="str">
        <x:v>第 2 年</x:v>
      </x:c>
      <x:c r="C285" s="38" t="str">
        <x:v>M06 Maker Lab：micro:bit 電子與感測</x:v>
      </x:c>
      <x:c r="D285" s="38" t="n">
        <x:v>15</x:v>
      </x:c>
      <x:c r="E285" s="38" t="str">
        <x:v>壓力測試與故障排除</x:v>
      </x:c>
      <x:c r="F285" s="38" t="n">
        <x:v>2</x:v>
      </x:c>
      <x:c r="G285" s="38" t="str">
        <x:v>跟做實作／專案導向</x:v>
      </x:c>
      <x:c r="H285" s="38" t="str">
        <x:v>壓力測試與故障排除 測試低電量、斷線、錯誤輸入與誤觸發 hands on project for kids microbit physical computing coding</x:v>
      </x:c>
      <x:c r="I285" s="38" t="str">
        <x:v>https://www.youtube.com/results?search_query=%E5%A3%93%E5%8A%9B%E6%B8%AC%E8%A9%A6%E8%88%87%E6%95%85%E9%9A%9C%E6%8E%92%E9%99%A4+%E6%B8%AC%E8%A9%A6%E4%BD%8E%E9%9B%BB%E9%87%8F%E3%80%81%E6%96%B7%E7%B7%9A%E3%80%81%E9%8C%AF%E8%AA%A4%E8%BC%B8%E5%85%A5%E8%88%87%E8%AA%A4%E8%A7%B8%E7%99%BC+hands+on+project+for+kids+microbit+physical+computing+coding</x:v>
      </x:c>
      <x:c r="J285" s="38" t="str">
        <x:v>課中實作參考</x:v>
      </x:c>
      <x:c r="K285" s="38" t="str">
        <x:v>8–20 分鐘</x:v>
      </x:c>
      <x:c r="L285" s="38" t="str">
        <x:v>優先找有畫面操作、步驟清楚、可暫停跟做的版本</x:v>
      </x:c>
      <x:c r="M285" s="38" t="str">
        <x:v>□ 未挑選</x:v>
      </x:c>
      <x:c r="N285" s="38" t="str"/>
      <x:c r="O285" s="38" t="str"/>
    </x:row>
    <x:row r="286">
      <x:c r="A286" s="38" t="n">
        <x:v>95</x:v>
      </x:c>
      <x:c r="B286" s="38" t="str">
        <x:v>第 2 年</x:v>
      </x:c>
      <x:c r="C286" s="38" t="str">
        <x:v>M06 Maker Lab：micro:bit 電子與感測</x:v>
      </x:c>
      <x:c r="D286" s="38" t="n">
        <x:v>15</x:v>
      </x:c>
      <x:c r="E286" s="38" t="str">
        <x:v>壓力測試與故障排除</x:v>
      </x:c>
      <x:c r="F286" s="38" t="n">
        <x:v>3</x:v>
      </x:c>
      <x:c r="G286" s="38" t="str">
        <x:v>中文延伸／倫理安全</x:v>
      </x:c>
      <x:c r="H286" s="38" t="str">
        <x:v>壓力測試與故障排除 中文 教學 原理 安全 親子 microbit physical computing coding</x:v>
      </x:c>
      <x:c r="I286" s="38" t="str">
        <x:v>https://www.youtube.com/results?search_query=%E5%A3%93%E5%8A%9B%E6%B8%AC%E8%A9%A6%E8%88%87%E6%95%85%E9%9A%9C%E6%8E%92%E9%99%A4+%E4%B8%AD%E6%96%87+%E6%95%99%E5%AD%B8+%E5%8E%9F%E7%90%86+%E5%AE%89%E5%85%A8+%E8%A6%AA%E5%AD%90+microbit+physical+computing+coding</x:v>
      </x:c>
      <x:c r="J286" s="38" t="str">
        <x:v>課後延伸／親子討論</x:v>
      </x:c>
      <x:c r="K286" s="38" t="str">
        <x:v>6–15 分鐘</x:v>
      </x:c>
      <x:c r="L286" s="38" t="str">
        <x:v>補充應用、倫理、安全或真實案例；父子各說一個觀點</x:v>
      </x:c>
      <x:c r="M286" s="38" t="str">
        <x:v>□ 未挑選</x:v>
      </x:c>
      <x:c r="N286" s="38" t="str"/>
      <x:c r="O286" s="38" t="str"/>
    </x:row>
    <x:row r="287">
      <x:c r="A287" s="38" t="n">
        <x:v>96</x:v>
      </x:c>
      <x:c r="B287" s="38" t="str">
        <x:v>第 2 年</x:v>
      </x:c>
      <x:c r="C287" s="38" t="str">
        <x:v>M06 Maker Lab：micro:bit 電子與感測</x:v>
      </x:c>
      <x:c r="D287" s="38" t="n">
        <x:v>16</x:v>
      </x:c>
      <x:c r="E287" s="38" t="str">
        <x:v>家庭 Maker Faire</x:v>
      </x:c>
      <x:c r="F287" s="38" t="n">
        <x:v>1</x:v>
      </x:c>
      <x:c r="G287" s="38" t="str">
        <x:v>概念入門／官方優先</x:v>
      </x:c>
      <x:c r="H287" s="38" t="str">
        <x:v>家庭 Maker Faire microbit physical computing coding beginner tutorial micro:bit</x:v>
      </x:c>
      <x:c r="I287" s="38" t="str">
        <x:v>https://www.youtube.com/results?search_query=%E5%AE%B6%E5%BA%AD+Maker+Faire+microbit+physical+computing+coding+beginner+tutorial+micro%3Abit</x:v>
      </x:c>
      <x:c r="J287" s="38" t="str">
        <x:v>課前暖身</x:v>
      </x:c>
      <x:c r="K287" s="38" t="str">
        <x:v>5–12 分鐘</x:v>
      </x:c>
      <x:c r="L287" s="38" t="str">
        <x:v>先建立直覺；看完能說出 3 個關鍵詞</x:v>
      </x:c>
      <x:c r="M287" s="38" t="str">
        <x:v>□ 未挑選</x:v>
      </x:c>
      <x:c r="N287" s="38" t="str"/>
      <x:c r="O287" s="38" t="str"/>
    </x:row>
    <x:row r="288">
      <x:c r="A288" s="38" t="n">
        <x:v>96</x:v>
      </x:c>
      <x:c r="B288" s="38" t="str">
        <x:v>第 2 年</x:v>
      </x:c>
      <x:c r="C288" s="38" t="str">
        <x:v>M06 Maker Lab：micro:bit 電子與感測</x:v>
      </x:c>
      <x:c r="D288" s="38" t="n">
        <x:v>16</x:v>
      </x:c>
      <x:c r="E288" s="38" t="str">
        <x:v>家庭 Maker Faire</x:v>
      </x:c>
      <x:c r="F288" s="38" t="n">
        <x:v>2</x:v>
      </x:c>
      <x:c r="G288" s="38" t="str">
        <x:v>跟做實作／專案導向</x:v>
      </x:c>
      <x:c r="H288" s="38" t="str">
        <x:v>家庭 Maker Faire 展示設計、電路、程式、測試與改進 hands on project for kids microbit physical computing coding</x:v>
      </x:c>
      <x:c r="I288" s="38" t="str">
        <x:v>https://www.youtube.com/results?search_query=%E5%AE%B6%E5%BA%AD+Maker+Faire+%E5%B1%95%E7%A4%BA%E8%A8%AD%E8%A8%88%E3%80%81%E9%9B%BB%E8%B7%AF%E3%80%81%E7%A8%8B%E5%BC%8F%E3%80%81%E6%B8%AC%E8%A9%A6%E8%88%87%E6%94%B9%E9%80%B2+hands+on+project+for+kids+microbit+physical+computing+coding</x:v>
      </x:c>
      <x:c r="J288" s="38" t="str">
        <x:v>課中實作參考</x:v>
      </x:c>
      <x:c r="K288" s="38" t="str">
        <x:v>8–20 分鐘</x:v>
      </x:c>
      <x:c r="L288" s="38" t="str">
        <x:v>優先找有畫面操作、步驟清楚、可暫停跟做的版本</x:v>
      </x:c>
      <x:c r="M288" s="38" t="str">
        <x:v>□ 未挑選</x:v>
      </x:c>
      <x:c r="N288" s="38" t="str"/>
      <x:c r="O288" s="38" t="str"/>
    </x:row>
    <x:row r="289">
      <x:c r="A289" s="38" t="n">
        <x:v>96</x:v>
      </x:c>
      <x:c r="B289" s="38" t="str">
        <x:v>第 2 年</x:v>
      </x:c>
      <x:c r="C289" s="38" t="str">
        <x:v>M06 Maker Lab：micro:bit 電子與感測</x:v>
      </x:c>
      <x:c r="D289" s="38" t="n">
        <x:v>16</x:v>
      </x:c>
      <x:c r="E289" s="38" t="str">
        <x:v>家庭 Maker Faire</x:v>
      </x:c>
      <x:c r="F289" s="38" t="n">
        <x:v>3</x:v>
      </x:c>
      <x:c r="G289" s="38" t="str">
        <x:v>中文延伸／倫理安全</x:v>
      </x:c>
      <x:c r="H289" s="38" t="str">
        <x:v>家庭 Maker Faire 中文 教學 原理 安全 親子 microbit physical computing coding</x:v>
      </x:c>
      <x:c r="I289" s="38" t="str">
        <x:v>https://www.youtube.com/results?search_query=%E5%AE%B6%E5%BA%AD+Maker+Faire+%E4%B8%AD%E6%96%87+%E6%95%99%E5%AD%B8+%E5%8E%9F%E7%90%86+%E5%AE%89%E5%85%A8+%E8%A6%AA%E5%AD%90+microbit+physical+computing+coding</x:v>
      </x:c>
      <x:c r="J289" s="38" t="str">
        <x:v>課後延伸／親子討論</x:v>
      </x:c>
      <x:c r="K289" s="38" t="str">
        <x:v>6–15 分鐘</x:v>
      </x:c>
      <x:c r="L289" s="38" t="str">
        <x:v>補充應用、倫理、安全或真實案例；父子各說一個觀點</x:v>
      </x:c>
      <x:c r="M289" s="38" t="str">
        <x:v>□ 未挑選</x:v>
      </x:c>
      <x:c r="N289" s="38" t="str"/>
      <x:c r="O289" s="38" t="str"/>
    </x:row>
    <x:row r="290">
      <x:c r="A290" s="38" t="n">
        <x:v>97</x:v>
      </x:c>
      <x:c r="B290" s="38" t="str">
        <x:v>第 3 年</x:v>
      </x:c>
      <x:c r="C290" s="38" t="str">
        <x:v>M07 Python 進階、Git 與軟體工程</x:v>
      </x:c>
      <x:c r="D290" s="38" t="n">
        <x:v>1</x:v>
      </x:c>
      <x:c r="E290" s="38" t="str">
        <x:v>Terminal 不可怕：檔案系統指令</x:v>
      </x:c>
      <x:c r="F290" s="38" t="n">
        <x:v>1</x:v>
      </x:c>
      <x:c r="G290" s="38" t="str">
        <x:v>概念入門／官方優先</x:v>
      </x:c>
      <x:c r="H290" s="38" t="str">
        <x:v>Terminal 不可怕 檔案系統指令 Git GitHub software engineering testing beginner tutorial GitHub</x:v>
      </x:c>
      <x:c r="I290" s="38" t="str">
        <x:v>https://www.youtube.com/results?search_query=Terminal+%E4%B8%8D%E5%8F%AF%E6%80%95+%E6%AA%94%E6%A1%88%E7%B3%BB%E7%B5%B1%E6%8C%87%E4%BB%A4+Git+GitHub+software+engineering+testing+beginner+tutorial+GitHub</x:v>
      </x:c>
      <x:c r="J290" s="38" t="str">
        <x:v>課前暖身</x:v>
      </x:c>
      <x:c r="K290" s="38" t="str">
        <x:v>5–12 分鐘</x:v>
      </x:c>
      <x:c r="L290" s="38" t="str">
        <x:v>先建立直覺；看完能說出 3 個關鍵詞</x:v>
      </x:c>
      <x:c r="M290" s="38" t="str">
        <x:v>□ 未挑選</x:v>
      </x:c>
      <x:c r="N290" s="38" t="str"/>
      <x:c r="O290" s="38" t="str"/>
    </x:row>
    <x:row r="291">
      <x:c r="A291" s="38" t="n">
        <x:v>97</x:v>
      </x:c>
      <x:c r="B291" s="38" t="str">
        <x:v>第 3 年</x:v>
      </x:c>
      <x:c r="C291" s="38" t="str">
        <x:v>M07 Python 進階、Git 與軟體工程</x:v>
      </x:c>
      <x:c r="D291" s="38" t="n">
        <x:v>1</x:v>
      </x:c>
      <x:c r="E291" s="38" t="str">
        <x:v>Terminal 不可怕：檔案系統指令</x:v>
      </x:c>
      <x:c r="F291" s="38" t="n">
        <x:v>2</x:v>
      </x:c>
      <x:c r="G291" s="38" t="str">
        <x:v>跟做實作／專案導向</x:v>
      </x:c>
      <x:c r="H291" s="38" t="str">
        <x:v>Terminal 不可怕 檔案系統指令 使用 pwd、ls、cd、mkdir、cp、mv、rm 並理解目前位置 hands on project for kids Git GitHub software</x:v>
      </x:c>
      <x:c r="I291" s="38" t="str">
        <x:v>https://www.youtube.com/results?search_query=Terminal+%E4%B8%8D%E5%8F%AF%E6%80%95+%E6%AA%94%E6%A1%88%E7%B3%BB%E7%B5%B1%E6%8C%87%E4%BB%A4+%E4%BD%BF%E7%94%A8+pwd%E3%80%81ls%E3%80%81cd%E3%80%81mkdir%E3%80%81cp%E3%80%81mv%E3%80%81rm+%E4%B8%A6%E7%90%86%E8%A7%A3%E7%9B%AE%E5%89%8D%E4%BD%8D%E7%BD%AE+hands+on+project+for+kids+Git+GitHub+software+engineering+testing</x:v>
      </x:c>
      <x:c r="J291" s="38" t="str">
        <x:v>課中實作參考</x:v>
      </x:c>
      <x:c r="K291" s="38" t="str">
        <x:v>8–20 分鐘</x:v>
      </x:c>
      <x:c r="L291" s="38" t="str">
        <x:v>優先找有畫面操作、步驟清楚、可暫停跟做的版本</x:v>
      </x:c>
      <x:c r="M291" s="38" t="str">
        <x:v>□ 未挑選</x:v>
      </x:c>
      <x:c r="N291" s="38" t="str"/>
      <x:c r="O291" s="38" t="str"/>
    </x:row>
    <x:row r="292">
      <x:c r="A292" s="38" t="n">
        <x:v>97</x:v>
      </x:c>
      <x:c r="B292" s="38" t="str">
        <x:v>第 3 年</x:v>
      </x:c>
      <x:c r="C292" s="38" t="str">
        <x:v>M07 Python 進階、Git 與軟體工程</x:v>
      </x:c>
      <x:c r="D292" s="38" t="n">
        <x:v>1</x:v>
      </x:c>
      <x:c r="E292" s="38" t="str">
        <x:v>Terminal 不可怕：檔案系統指令</x:v>
      </x:c>
      <x:c r="F292" s="38" t="n">
        <x:v>3</x:v>
      </x:c>
      <x:c r="G292" s="38" t="str">
        <x:v>中文延伸／倫理安全</x:v>
      </x:c>
      <x:c r="H292" s="38" t="str">
        <x:v>Terminal 不可怕 檔案系統指令 中文 教學 原理 安全 親子 Git GitHub software engineering testing</x:v>
      </x:c>
      <x:c r="I292" s="38" t="str">
        <x:v>https://www.youtube.com/results?search_query=Terminal+%E4%B8%8D%E5%8F%AF%E6%80%95+%E6%AA%94%E6%A1%88%E7%B3%BB%E7%B5%B1%E6%8C%87%E4%BB%A4+%E4%B8%AD%E6%96%87+%E6%95%99%E5%AD%B8+%E5%8E%9F%E7%90%86+%E5%AE%89%E5%85%A8+%E8%A6%AA%E5%AD%90+Git+GitHub+software+engineering+testing</x:v>
      </x:c>
      <x:c r="J292" s="38" t="str">
        <x:v>課後延伸／親子討論</x:v>
      </x:c>
      <x:c r="K292" s="38" t="str">
        <x:v>6–15 分鐘</x:v>
      </x:c>
      <x:c r="L292" s="38" t="str">
        <x:v>補充應用、倫理、安全或真實案例；父子各說一個觀點</x:v>
      </x:c>
      <x:c r="M292" s="38" t="str">
        <x:v>□ 未挑選</x:v>
      </x:c>
      <x:c r="N292" s="38" t="str"/>
      <x:c r="O292" s="38" t="str"/>
    </x:row>
    <x:row r="293">
      <x:c r="A293" s="38" t="n">
        <x:v>98</x:v>
      </x:c>
      <x:c r="B293" s="38" t="str">
        <x:v>第 3 年</x:v>
      </x:c>
      <x:c r="C293" s="38" t="str">
        <x:v>M07 Python 進階、Git 與軟體工程</x:v>
      </x:c>
      <x:c r="D293" s="38" t="n">
        <x:v>2</x:v>
      </x:c>
      <x:c r="E293" s="38" t="str">
        <x:v>Git 的時間機器模型</x:v>
      </x:c>
      <x:c r="F293" s="38" t="n">
        <x:v>1</x:v>
      </x:c>
      <x:c r="G293" s="38" t="str">
        <x:v>概念入門／官方優先</x:v>
      </x:c>
      <x:c r="H293" s="38" t="str">
        <x:v>Git 的時間機器模型 Git GitHub software engineering testing beginner tutorial GitHub</x:v>
      </x:c>
      <x:c r="I293" s="38" t="str">
        <x:v>https://www.youtube.com/results?search_query=Git+%E7%9A%84%E6%99%82%E9%96%93%E6%A9%9F%E5%99%A8%E6%A8%A1%E5%9E%8B+Git+GitHub+software+engineering+testing+beginner+tutorial+GitHub</x:v>
      </x:c>
      <x:c r="J293" s="38" t="str">
        <x:v>課前暖身</x:v>
      </x:c>
      <x:c r="K293" s="38" t="str">
        <x:v>5–12 分鐘</x:v>
      </x:c>
      <x:c r="L293" s="38" t="str">
        <x:v>先建立直覺；看完能說出 3 個關鍵詞</x:v>
      </x:c>
      <x:c r="M293" s="38" t="str">
        <x:v>□ 未挑選</x:v>
      </x:c>
      <x:c r="N293" s="38" t="str"/>
      <x:c r="O293" s="38" t="str"/>
    </x:row>
    <x:row r="294">
      <x:c r="A294" s="38" t="n">
        <x:v>98</x:v>
      </x:c>
      <x:c r="B294" s="38" t="str">
        <x:v>第 3 年</x:v>
      </x:c>
      <x:c r="C294" s="38" t="str">
        <x:v>M07 Python 進階、Git 與軟體工程</x:v>
      </x:c>
      <x:c r="D294" s="38" t="n">
        <x:v>2</x:v>
      </x:c>
      <x:c r="E294" s="38" t="str">
        <x:v>Git 的時間機器模型</x:v>
      </x:c>
      <x:c r="F294" s="38" t="n">
        <x:v>2</x:v>
      </x:c>
      <x:c r="G294" s="38" t="str">
        <x:v>跟做實作／專案導向</x:v>
      </x:c>
      <x:c r="H294" s="38" t="str">
        <x:v>Git 的時間機器模型 理解 working tree、staging、commit 與歷史 hands on project for kids Git GitHub software</x:v>
      </x:c>
      <x:c r="I294" s="38" t="str">
        <x:v>https://www.youtube.com/results?search_query=Git+%E7%9A%84%E6%99%82%E9%96%93%E6%A9%9F%E5%99%A8%E6%A8%A1%E5%9E%8B+%E7%90%86%E8%A7%A3+working+tree%E3%80%81staging%E3%80%81commit+%E8%88%87%E6%AD%B7%E5%8F%B2+hands+on+project+for+kids+Git+GitHub+software+engineering+testing</x:v>
      </x:c>
      <x:c r="J294" s="38" t="str">
        <x:v>課中實作參考</x:v>
      </x:c>
      <x:c r="K294" s="38" t="str">
        <x:v>8–20 分鐘</x:v>
      </x:c>
      <x:c r="L294" s="38" t="str">
        <x:v>優先找有畫面操作、步驟清楚、可暫停跟做的版本</x:v>
      </x:c>
      <x:c r="M294" s="38" t="str">
        <x:v>□ 未挑選</x:v>
      </x:c>
      <x:c r="N294" s="38" t="str"/>
      <x:c r="O294" s="38" t="str"/>
    </x:row>
    <x:row r="295">
      <x:c r="A295" s="38" t="n">
        <x:v>98</x:v>
      </x:c>
      <x:c r="B295" s="38" t="str">
        <x:v>第 3 年</x:v>
      </x:c>
      <x:c r="C295" s="38" t="str">
        <x:v>M07 Python 進階、Git 與軟體工程</x:v>
      </x:c>
      <x:c r="D295" s="38" t="n">
        <x:v>2</x:v>
      </x:c>
      <x:c r="E295" s="38" t="str">
        <x:v>Git 的時間機器模型</x:v>
      </x:c>
      <x:c r="F295" s="38" t="n">
        <x:v>3</x:v>
      </x:c>
      <x:c r="G295" s="38" t="str">
        <x:v>中文延伸／倫理安全</x:v>
      </x:c>
      <x:c r="H295" s="38" t="str">
        <x:v>Git 的時間機器模型 中文 教學 原理 安全 親子 Git GitHub software engineering testing</x:v>
      </x:c>
      <x:c r="I295" s="38" t="str">
        <x:v>https://www.youtube.com/results?search_query=Git+%E7%9A%84%E6%99%82%E9%96%93%E6%A9%9F%E5%99%A8%E6%A8%A1%E5%9E%8B+%E4%B8%AD%E6%96%87+%E6%95%99%E5%AD%B8+%E5%8E%9F%E7%90%86+%E5%AE%89%E5%85%A8+%E8%A6%AA%E5%AD%90+Git+GitHub+software+engineering+testing</x:v>
      </x:c>
      <x:c r="J295" s="38" t="str">
        <x:v>課後延伸／親子討論</x:v>
      </x:c>
      <x:c r="K295" s="38" t="str">
        <x:v>6–15 分鐘</x:v>
      </x:c>
      <x:c r="L295" s="38" t="str">
        <x:v>補充應用、倫理、安全或真實案例；父子各說一個觀點</x:v>
      </x:c>
      <x:c r="M295" s="38" t="str">
        <x:v>□ 未挑選</x:v>
      </x:c>
      <x:c r="N295" s="38" t="str"/>
      <x:c r="O295" s="38" t="str"/>
    </x:row>
    <x:row r="296">
      <x:c r="A296" s="38" t="n">
        <x:v>99</x:v>
      </x:c>
      <x:c r="B296" s="38" t="str">
        <x:v>第 3 年</x:v>
      </x:c>
      <x:c r="C296" s="38" t="str">
        <x:v>M07 Python 進階、Git 與軟體工程</x:v>
      </x:c>
      <x:c r="D296" s="38" t="n">
        <x:v>3</x:v>
      </x:c>
      <x:c r="E296" s="38" t="str">
        <x:v>GitHub Repository 與 README</x:v>
      </x:c>
      <x:c r="F296" s="38" t="n">
        <x:v>1</x:v>
      </x:c>
      <x:c r="G296" s="38" t="str">
        <x:v>概念入門／官方優先</x:v>
      </x:c>
      <x:c r="H296" s="38" t="str">
        <x:v>GitHub Repository 與 README Git GitHub software engineering testing beginner tutorial GitHub</x:v>
      </x:c>
      <x:c r="I296" s="38" t="str">
        <x:v>https://www.youtube.com/results?search_query=GitHub+Repository+%E8%88%87+README+Git+GitHub+software+engineering+testing+beginner+tutorial+GitHub</x:v>
      </x:c>
      <x:c r="J296" s="38" t="str">
        <x:v>課前暖身</x:v>
      </x:c>
      <x:c r="K296" s="38" t="str">
        <x:v>5–12 分鐘</x:v>
      </x:c>
      <x:c r="L296" s="38" t="str">
        <x:v>先建立直覺；看完能說出 3 個關鍵詞</x:v>
      </x:c>
      <x:c r="M296" s="38" t="str">
        <x:v>□ 未挑選</x:v>
      </x:c>
      <x:c r="N296" s="38" t="str"/>
      <x:c r="O296" s="38" t="str"/>
    </x:row>
    <x:row r="297">
      <x:c r="A297" s="38" t="n">
        <x:v>99</x:v>
      </x:c>
      <x:c r="B297" s="38" t="str">
        <x:v>第 3 年</x:v>
      </x:c>
      <x:c r="C297" s="38" t="str">
        <x:v>M07 Python 進階、Git 與軟體工程</x:v>
      </x:c>
      <x:c r="D297" s="38" t="n">
        <x:v>3</x:v>
      </x:c>
      <x:c r="E297" s="38" t="str">
        <x:v>GitHub Repository 與 README</x:v>
      </x:c>
      <x:c r="F297" s="38" t="n">
        <x:v>2</x:v>
      </x:c>
      <x:c r="G297" s="38" t="str">
        <x:v>跟做實作／專案導向</x:v>
      </x:c>
      <x:c r="H297" s="38" t="str">
        <x:v>GitHub Repository 與 README 建立遠端專案、描述目的、安裝與使用方法 hands on project for kids Git GitHub software engineering</x:v>
      </x:c>
      <x:c r="I297" s="38" t="str">
        <x:v>https://www.youtube.com/results?search_query=GitHub+Repository+%E8%88%87+README+%E5%BB%BA%E7%AB%8B%E9%81%A0%E7%AB%AF%E5%B0%88%E6%A1%88%E3%80%81%E6%8F%8F%E8%BF%B0%E7%9B%AE%E7%9A%84%E3%80%81%E5%AE%89%E8%A3%9D%E8%88%87%E4%BD%BF%E7%94%A8%E6%96%B9%E6%B3%95+hands+on+project+for+kids+Git+GitHub+software+engineering+testing</x:v>
      </x:c>
      <x:c r="J297" s="38" t="str">
        <x:v>課中實作參考</x:v>
      </x:c>
      <x:c r="K297" s="38" t="str">
        <x:v>8–20 分鐘</x:v>
      </x:c>
      <x:c r="L297" s="38" t="str">
        <x:v>優先找有畫面操作、步驟清楚、可暫停跟做的版本</x:v>
      </x:c>
      <x:c r="M297" s="38" t="str">
        <x:v>□ 未挑選</x:v>
      </x:c>
      <x:c r="N297" s="38" t="str"/>
      <x:c r="O297" s="38" t="str"/>
    </x:row>
    <x:row r="298">
      <x:c r="A298" s="38" t="n">
        <x:v>99</x:v>
      </x:c>
      <x:c r="B298" s="38" t="str">
        <x:v>第 3 年</x:v>
      </x:c>
      <x:c r="C298" s="38" t="str">
        <x:v>M07 Python 進階、Git 與軟體工程</x:v>
      </x:c>
      <x:c r="D298" s="38" t="n">
        <x:v>3</x:v>
      </x:c>
      <x:c r="E298" s="38" t="str">
        <x:v>GitHub Repository 與 README</x:v>
      </x:c>
      <x:c r="F298" s="38" t="n">
        <x:v>3</x:v>
      </x:c>
      <x:c r="G298" s="38" t="str">
        <x:v>中文延伸／倫理安全</x:v>
      </x:c>
      <x:c r="H298" s="38" t="str">
        <x:v>GitHub Repository 與 README 中文 教學 原理 安全 親子 Git GitHub software engineering testing</x:v>
      </x:c>
      <x:c r="I298" s="38" t="str">
        <x:v>https://www.youtube.com/results?search_query=GitHub+Repository+%E8%88%87+README+%E4%B8%AD%E6%96%87+%E6%95%99%E5%AD%B8+%E5%8E%9F%E7%90%86+%E5%AE%89%E5%85%A8+%E8%A6%AA%E5%AD%90+Git+GitHub+software+engineering+testing</x:v>
      </x:c>
      <x:c r="J298" s="38" t="str">
        <x:v>課後延伸／親子討論</x:v>
      </x:c>
      <x:c r="K298" s="38" t="str">
        <x:v>6–15 分鐘</x:v>
      </x:c>
      <x:c r="L298" s="38" t="str">
        <x:v>補充應用、倫理、安全或真實案例；父子各說一個觀點</x:v>
      </x:c>
      <x:c r="M298" s="38" t="str">
        <x:v>□ 未挑選</x:v>
      </x:c>
      <x:c r="N298" s="38" t="str"/>
      <x:c r="O298" s="38" t="str"/>
    </x:row>
    <x:row r="299">
      <x:c r="A299" s="38" t="n">
        <x:v>100</x:v>
      </x:c>
      <x:c r="B299" s="38" t="str">
        <x:v>第 3 年</x:v>
      </x:c>
      <x:c r="C299" s="38" t="str">
        <x:v>M07 Python 進階、Git 與軟體工程</x:v>
      </x:c>
      <x:c r="D299" s="38" t="n">
        <x:v>4</x:v>
      </x:c>
      <x:c r="E299" s="38" t="str">
        <x:v>Commit：一次只說清楚一件事</x:v>
      </x:c>
      <x:c r="F299" s="38" t="n">
        <x:v>1</x:v>
      </x:c>
      <x:c r="G299" s="38" t="str">
        <x:v>概念入門／官方優先</x:v>
      </x:c>
      <x:c r="H299" s="38" t="str">
        <x:v>Commit 一次只說清楚一件事 Git GitHub software engineering testing beginner tutorial GitHub</x:v>
      </x:c>
      <x:c r="I299" s="38" t="str">
        <x:v>https://www.youtube.com/results?search_query=Commit+%E4%B8%80%E6%AC%A1%E5%8F%AA%E8%AA%AA%E6%B8%85%E6%A5%9A%E4%B8%80%E4%BB%B6%E4%BA%8B+Git+GitHub+software+engineering+testing+beginner+tutorial+GitHub</x:v>
      </x:c>
      <x:c r="J299" s="38" t="str">
        <x:v>課前暖身</x:v>
      </x:c>
      <x:c r="K299" s="38" t="str">
        <x:v>5–12 分鐘</x:v>
      </x:c>
      <x:c r="L299" s="38" t="str">
        <x:v>先建立直覺；看完能說出 3 個關鍵詞</x:v>
      </x:c>
      <x:c r="M299" s="38" t="str">
        <x:v>□ 未挑選</x:v>
      </x:c>
      <x:c r="N299" s="38" t="str"/>
      <x:c r="O299" s="38" t="str"/>
    </x:row>
    <x:row r="300">
      <x:c r="A300" s="38" t="n">
        <x:v>100</x:v>
      </x:c>
      <x:c r="B300" s="38" t="str">
        <x:v>第 3 年</x:v>
      </x:c>
      <x:c r="C300" s="38" t="str">
        <x:v>M07 Python 進階、Git 與軟體工程</x:v>
      </x:c>
      <x:c r="D300" s="38" t="n">
        <x:v>4</x:v>
      </x:c>
      <x:c r="E300" s="38" t="str">
        <x:v>Commit：一次只說清楚一件事</x:v>
      </x:c>
      <x:c r="F300" s="38" t="n">
        <x:v>2</x:v>
      </x:c>
      <x:c r="G300" s="38" t="str">
        <x:v>跟做實作／專案導向</x:v>
      </x:c>
      <x:c r="H300" s="38" t="str">
        <x:v>Commit 一次只說清楚一件事 練習小步提交、訊息與可回復變更 hands on project for kids Git GitHub software engineering testing</x:v>
      </x:c>
      <x:c r="I300" s="38" t="str">
        <x:v>https://www.youtube.com/results?search_query=Commit+%E4%B8%80%E6%AC%A1%E5%8F%AA%E8%AA%AA%E6%B8%85%E6%A5%9A%E4%B8%80%E4%BB%B6%E4%BA%8B+%E7%B7%B4%E7%BF%92%E5%B0%8F%E6%AD%A5%E6%8F%90%E4%BA%A4%E3%80%81%E8%A8%8A%E6%81%AF%E8%88%87%E5%8F%AF%E5%9B%9E%E5%BE%A9%E8%AE%8A%E6%9B%B4+hands+on+project+for+kids+Git+GitHub+software+engineering+testing</x:v>
      </x:c>
      <x:c r="J300" s="38" t="str">
        <x:v>課中實作參考</x:v>
      </x:c>
      <x:c r="K300" s="38" t="str">
        <x:v>8–20 分鐘</x:v>
      </x:c>
      <x:c r="L300" s="38" t="str">
        <x:v>優先找有畫面操作、步驟清楚、可暫停跟做的版本</x:v>
      </x:c>
      <x:c r="M300" s="38" t="str">
        <x:v>□ 未挑選</x:v>
      </x:c>
      <x:c r="N300" s="38" t="str"/>
      <x:c r="O300" s="38" t="str"/>
    </x:row>
    <x:row r="301">
      <x:c r="A301" s="38" t="n">
        <x:v>100</x:v>
      </x:c>
      <x:c r="B301" s="38" t="str">
        <x:v>第 3 年</x:v>
      </x:c>
      <x:c r="C301" s="38" t="str">
        <x:v>M07 Python 進階、Git 與軟體工程</x:v>
      </x:c>
      <x:c r="D301" s="38" t="n">
        <x:v>4</x:v>
      </x:c>
      <x:c r="E301" s="38" t="str">
        <x:v>Commit：一次只說清楚一件事</x:v>
      </x:c>
      <x:c r="F301" s="38" t="n">
        <x:v>3</x:v>
      </x:c>
      <x:c r="G301" s="38" t="str">
        <x:v>中文延伸／倫理安全</x:v>
      </x:c>
      <x:c r="H301" s="38" t="str">
        <x:v>Commit 一次只說清楚一件事 中文 教學 原理 安全 親子 Git GitHub software engineering testing</x:v>
      </x:c>
      <x:c r="I301" s="38" t="str">
        <x:v>https://www.youtube.com/results?search_query=Commit+%E4%B8%80%E6%AC%A1%E5%8F%AA%E8%AA%AA%E6%B8%85%E6%A5%9A%E4%B8%80%E4%BB%B6%E4%BA%8B+%E4%B8%AD%E6%96%87+%E6%95%99%E5%AD%B8+%E5%8E%9F%E7%90%86+%E5%AE%89%E5%85%A8+%E8%A6%AA%E5%AD%90+Git+GitHub+software+engineering+testing</x:v>
      </x:c>
      <x:c r="J301" s="38" t="str">
        <x:v>課後延伸／親子討論</x:v>
      </x:c>
      <x:c r="K301" s="38" t="str">
        <x:v>6–15 分鐘</x:v>
      </x:c>
      <x:c r="L301" s="38" t="str">
        <x:v>補充應用、倫理、安全或真實案例；父子各說一個觀點</x:v>
      </x:c>
      <x:c r="M301" s="38" t="str">
        <x:v>□ 未挑選</x:v>
      </x:c>
      <x:c r="N301" s="38" t="str"/>
      <x:c r="O301" s="38" t="str"/>
    </x:row>
    <x:row r="302">
      <x:c r="A302" s="38" t="n">
        <x:v>101</x:v>
      </x:c>
      <x:c r="B302" s="38" t="str">
        <x:v>第 3 年</x:v>
      </x:c>
      <x:c r="C302" s="38" t="str">
        <x:v>M07 Python 進階、Git 與軟體工程</x:v>
      </x:c>
      <x:c r="D302" s="38" t="n">
        <x:v>5</x:v>
      </x:c>
      <x:c r="E302" s="38" t="str">
        <x:v>Branch：安全地試新點子</x:v>
      </x:c>
      <x:c r="F302" s="38" t="n">
        <x:v>1</x:v>
      </x:c>
      <x:c r="G302" s="38" t="str">
        <x:v>概念入門／官方優先</x:v>
      </x:c>
      <x:c r="H302" s="38" t="str">
        <x:v>Branch 安全地試新點子 Git GitHub software engineering testing beginner tutorial GitHub</x:v>
      </x:c>
      <x:c r="I302" s="38" t="str">
        <x:v>https://www.youtube.com/results?search_query=Branch+%E5%AE%89%E5%85%A8%E5%9C%B0%E8%A9%A6%E6%96%B0%E9%BB%9E%E5%AD%90+Git+GitHub+software+engineering+testing+beginner+tutorial+GitHub</x:v>
      </x:c>
      <x:c r="J302" s="38" t="str">
        <x:v>課前暖身</x:v>
      </x:c>
      <x:c r="K302" s="38" t="str">
        <x:v>5–12 分鐘</x:v>
      </x:c>
      <x:c r="L302" s="38" t="str">
        <x:v>先建立直覺；看完能說出 3 個關鍵詞</x:v>
      </x:c>
      <x:c r="M302" s="38" t="str">
        <x:v>□ 未挑選</x:v>
      </x:c>
      <x:c r="N302" s="38" t="str"/>
      <x:c r="O302" s="38" t="str"/>
    </x:row>
    <x:row r="303">
      <x:c r="A303" s="38" t="n">
        <x:v>101</x:v>
      </x:c>
      <x:c r="B303" s="38" t="str">
        <x:v>第 3 年</x:v>
      </x:c>
      <x:c r="C303" s="38" t="str">
        <x:v>M07 Python 進階、Git 與軟體工程</x:v>
      </x:c>
      <x:c r="D303" s="38" t="n">
        <x:v>5</x:v>
      </x:c>
      <x:c r="E303" s="38" t="str">
        <x:v>Branch：安全地試新點子</x:v>
      </x:c>
      <x:c r="F303" s="38" t="n">
        <x:v>2</x:v>
      </x:c>
      <x:c r="G303" s="38" t="str">
        <x:v>跟做實作／專案導向</x:v>
      </x:c>
      <x:c r="H303" s="38" t="str">
        <x:v>Branch 安全地試新點子 理解分支、切換、合併與衝突概念 hands on project for kids Git GitHub software engineering testing</x:v>
      </x:c>
      <x:c r="I303" s="38" t="str">
        <x:v>https://www.youtube.com/results?search_query=Branch+%E5%AE%89%E5%85%A8%E5%9C%B0%E8%A9%A6%E6%96%B0%E9%BB%9E%E5%AD%90+%E7%90%86%E8%A7%A3%E5%88%86%E6%94%AF%E3%80%81%E5%88%87%E6%8F%9B%E3%80%81%E5%90%88%E4%BD%B5%E8%88%87%E8%A1%9D%E7%AA%81%E6%A6%82%E5%BF%B5+hands+on+project+for+kids+Git+GitHub+software+engineering+testing</x:v>
      </x:c>
      <x:c r="J303" s="38" t="str">
        <x:v>課中實作參考</x:v>
      </x:c>
      <x:c r="K303" s="38" t="str">
        <x:v>8–20 分鐘</x:v>
      </x:c>
      <x:c r="L303" s="38" t="str">
        <x:v>優先找有畫面操作、步驟清楚、可暫停跟做的版本</x:v>
      </x:c>
      <x:c r="M303" s="38" t="str">
        <x:v>□ 未挑選</x:v>
      </x:c>
      <x:c r="N303" s="38" t="str"/>
      <x:c r="O303" s="38" t="str"/>
    </x:row>
    <x:row r="304">
      <x:c r="A304" s="38" t="n">
        <x:v>101</x:v>
      </x:c>
      <x:c r="B304" s="38" t="str">
        <x:v>第 3 年</x:v>
      </x:c>
      <x:c r="C304" s="38" t="str">
        <x:v>M07 Python 進階、Git 與軟體工程</x:v>
      </x:c>
      <x:c r="D304" s="38" t="n">
        <x:v>5</x:v>
      </x:c>
      <x:c r="E304" s="38" t="str">
        <x:v>Branch：安全地試新點子</x:v>
      </x:c>
      <x:c r="F304" s="38" t="n">
        <x:v>3</x:v>
      </x:c>
      <x:c r="G304" s="38" t="str">
        <x:v>中文延伸／倫理安全</x:v>
      </x:c>
      <x:c r="H304" s="38" t="str">
        <x:v>Branch 安全地試新點子 中文 教學 原理 安全 親子 Git GitHub software engineering testing</x:v>
      </x:c>
      <x:c r="I304" s="38" t="str">
        <x:v>https://www.youtube.com/results?search_query=Branch+%E5%AE%89%E5%85%A8%E5%9C%B0%E8%A9%A6%E6%96%B0%E9%BB%9E%E5%AD%90+%E4%B8%AD%E6%96%87+%E6%95%99%E5%AD%B8+%E5%8E%9F%E7%90%86+%E5%AE%89%E5%85%A8+%E8%A6%AA%E5%AD%90+Git+GitHub+software+engineering+testing</x:v>
      </x:c>
      <x:c r="J304" s="38" t="str">
        <x:v>課後延伸／親子討論</x:v>
      </x:c>
      <x:c r="K304" s="38" t="str">
        <x:v>6–15 分鐘</x:v>
      </x:c>
      <x:c r="L304" s="38" t="str">
        <x:v>補充應用、倫理、安全或真實案例；父子各說一個觀點</x:v>
      </x:c>
      <x:c r="M304" s="38" t="str">
        <x:v>□ 未挑選</x:v>
      </x:c>
      <x:c r="N304" s="38" t="str"/>
      <x:c r="O304" s="38" t="str"/>
    </x:row>
    <x:row r="305">
      <x:c r="A305" s="38" t="n">
        <x:v>102</x:v>
      </x:c>
      <x:c r="B305" s="38" t="str">
        <x:v>第 3 年</x:v>
      </x:c>
      <x:c r="C305" s="38" t="str">
        <x:v>M07 Python 進階、Git 與軟體工程</x:v>
      </x:c>
      <x:c r="D305" s="38" t="n">
        <x:v>6</x:v>
      </x:c>
      <x:c r="E305" s="38" t="str">
        <x:v>Issue、任務與完成定義</x:v>
      </x:c>
      <x:c r="F305" s="38" t="n">
        <x:v>1</x:v>
      </x:c>
      <x:c r="G305" s="38" t="str">
        <x:v>概念入門／官方優先</x:v>
      </x:c>
      <x:c r="H305" s="38" t="str">
        <x:v>Issue、任務與完成定義 Git GitHub software engineering testing beginner tutorial GitHub</x:v>
      </x:c>
      <x:c r="I305" s="38" t="str">
        <x:v>https://www.youtube.com/results?search_query=Issue%E3%80%81%E4%BB%BB%E5%8B%99%E8%88%87%E5%AE%8C%E6%88%90%E5%AE%9A%E7%BE%A9+Git+GitHub+software+engineering+testing+beginner+tutorial+GitHub</x:v>
      </x:c>
      <x:c r="J305" s="38" t="str">
        <x:v>課前暖身</x:v>
      </x:c>
      <x:c r="K305" s="38" t="str">
        <x:v>5–12 分鐘</x:v>
      </x:c>
      <x:c r="L305" s="38" t="str">
        <x:v>先建立直覺；看完能說出 3 個關鍵詞</x:v>
      </x:c>
      <x:c r="M305" s="38" t="str">
        <x:v>□ 未挑選</x:v>
      </x:c>
      <x:c r="N305" s="38" t="str"/>
      <x:c r="O305" s="38" t="str"/>
    </x:row>
    <x:row r="306">
      <x:c r="A306" s="38" t="n">
        <x:v>102</x:v>
      </x:c>
      <x:c r="B306" s="38" t="str">
        <x:v>第 3 年</x:v>
      </x:c>
      <x:c r="C306" s="38" t="str">
        <x:v>M07 Python 進階、Git 與軟體工程</x:v>
      </x:c>
      <x:c r="D306" s="38" t="n">
        <x:v>6</x:v>
      </x:c>
      <x:c r="E306" s="38" t="str">
        <x:v>Issue、任務與完成定義</x:v>
      </x:c>
      <x:c r="F306" s="38" t="n">
        <x:v>2</x:v>
      </x:c>
      <x:c r="G306" s="38" t="str">
        <x:v>跟做實作／專案導向</x:v>
      </x:c>
      <x:c r="H306" s="38" t="str">
        <x:v>Issue、任務與完成定義 把模糊想法拆成可驗收工作項 hands on project for kids Git GitHub software engineering testing</x:v>
      </x:c>
      <x:c r="I306" s="38" t="str">
        <x:v>https://www.youtube.com/results?search_query=Issue%E3%80%81%E4%BB%BB%E5%8B%99%E8%88%87%E5%AE%8C%E6%88%90%E5%AE%9A%E7%BE%A9+%E6%8A%8A%E6%A8%A1%E7%B3%8A%E6%83%B3%E6%B3%95%E6%8B%86%E6%88%90%E5%8F%AF%E9%A9%97%E6%94%B6%E5%B7%A5%E4%BD%9C%E9%A0%85+hands+on+project+for+kids+Git+GitHub+software+engineering+testing</x:v>
      </x:c>
      <x:c r="J306" s="38" t="str">
        <x:v>課中實作參考</x:v>
      </x:c>
      <x:c r="K306" s="38" t="str">
        <x:v>8–20 分鐘</x:v>
      </x:c>
      <x:c r="L306" s="38" t="str">
        <x:v>優先找有畫面操作、步驟清楚、可暫停跟做的版本</x:v>
      </x:c>
      <x:c r="M306" s="38" t="str">
        <x:v>□ 未挑選</x:v>
      </x:c>
      <x:c r="N306" s="38" t="str"/>
      <x:c r="O306" s="38" t="str"/>
    </x:row>
    <x:row r="307">
      <x:c r="A307" s="38" t="n">
        <x:v>102</x:v>
      </x:c>
      <x:c r="B307" s="38" t="str">
        <x:v>第 3 年</x:v>
      </x:c>
      <x:c r="C307" s="38" t="str">
        <x:v>M07 Python 進階、Git 與軟體工程</x:v>
      </x:c>
      <x:c r="D307" s="38" t="n">
        <x:v>6</x:v>
      </x:c>
      <x:c r="E307" s="38" t="str">
        <x:v>Issue、任務與完成定義</x:v>
      </x:c>
      <x:c r="F307" s="38" t="n">
        <x:v>3</x:v>
      </x:c>
      <x:c r="G307" s="38" t="str">
        <x:v>中文延伸／倫理安全</x:v>
      </x:c>
      <x:c r="H307" s="38" t="str">
        <x:v>Issue、任務與完成定義 中文 教學 原理 安全 親子 Git GitHub software engineering testing</x:v>
      </x:c>
      <x:c r="I307" s="38" t="str">
        <x:v>https://www.youtube.com/results?search_query=Issue%E3%80%81%E4%BB%BB%E5%8B%99%E8%88%87%E5%AE%8C%E6%88%90%E5%AE%9A%E7%BE%A9+%E4%B8%AD%E6%96%87+%E6%95%99%E5%AD%B8+%E5%8E%9F%E7%90%86+%E5%AE%89%E5%85%A8+%E8%A6%AA%E5%AD%90+Git+GitHub+software+engineering+testing</x:v>
      </x:c>
      <x:c r="J307" s="38" t="str">
        <x:v>課後延伸／親子討論</x:v>
      </x:c>
      <x:c r="K307" s="38" t="str">
        <x:v>6–15 分鐘</x:v>
      </x:c>
      <x:c r="L307" s="38" t="str">
        <x:v>補充應用、倫理、安全或真實案例；父子各說一個觀點</x:v>
      </x:c>
      <x:c r="M307" s="38" t="str">
        <x:v>□ 未挑選</x:v>
      </x:c>
      <x:c r="N307" s="38" t="str"/>
      <x:c r="O307" s="38" t="str"/>
    </x:row>
    <x:row r="308">
      <x:c r="A308" s="38" t="n">
        <x:v>103</x:v>
      </x:c>
      <x:c r="B308" s="38" t="str">
        <x:v>第 3 年</x:v>
      </x:c>
      <x:c r="C308" s="38" t="str">
        <x:v>M07 Python 進階、Git 與軟體工程</x:v>
      </x:c>
      <x:c r="D308" s="38" t="n">
        <x:v>7</x:v>
      </x:c>
      <x:c r="E308" s="38" t="str">
        <x:v>Python Modules 與專案結構</x:v>
      </x:c>
      <x:c r="F308" s="38" t="n">
        <x:v>1</x:v>
      </x:c>
      <x:c r="G308" s="38" t="str">
        <x:v>概念入門／官方優先</x:v>
      </x:c>
      <x:c r="H308" s="38" t="str">
        <x:v>Python Modules 與專案結構 Git GitHub software engineering testing beginner tutorial GitHub</x:v>
      </x:c>
      <x:c r="I308" s="38" t="str">
        <x:v>https://www.youtube.com/results?search_query=Python+Modules+%E8%88%87%E5%B0%88%E6%A1%88%E7%B5%90%E6%A7%8B+Git+GitHub+software+engineering+testing+beginner+tutorial+GitHub</x:v>
      </x:c>
      <x:c r="J308" s="38" t="str">
        <x:v>課前暖身</x:v>
      </x:c>
      <x:c r="K308" s="38" t="str">
        <x:v>5–12 分鐘</x:v>
      </x:c>
      <x:c r="L308" s="38" t="str">
        <x:v>先建立直覺；看完能說出 3 個關鍵詞</x:v>
      </x:c>
      <x:c r="M308" s="38" t="str">
        <x:v>□ 未挑選</x:v>
      </x:c>
      <x:c r="N308" s="38" t="str"/>
      <x:c r="O308" s="38" t="str"/>
    </x:row>
    <x:row r="309">
      <x:c r="A309" s="38" t="n">
        <x:v>103</x:v>
      </x:c>
      <x:c r="B309" s="38" t="str">
        <x:v>第 3 年</x:v>
      </x:c>
      <x:c r="C309" s="38" t="str">
        <x:v>M07 Python 進階、Git 與軟體工程</x:v>
      </x:c>
      <x:c r="D309" s="38" t="n">
        <x:v>7</x:v>
      </x:c>
      <x:c r="E309" s="38" t="str">
        <x:v>Python Modules 與專案結構</x:v>
      </x:c>
      <x:c r="F309" s="38" t="n">
        <x:v>2</x:v>
      </x:c>
      <x:c r="G309" s="38" t="str">
        <x:v>跟做實作／專案導向</x:v>
      </x:c>
      <x:c r="H309" s="38" t="str">
        <x:v>Python Modules 與專案結構 拆分檔案、import、__main__ 與責任邊界 hands on project for kids Git GitHub software engineering</x:v>
      </x:c>
      <x:c r="I309" s="38" t="str">
        <x:v>https://www.youtube.com/results?search_query=Python+Modules+%E8%88%87%E5%B0%88%E6%A1%88%E7%B5%90%E6%A7%8B+%E6%8B%86%E5%88%86%E6%AA%94%E6%A1%88%E3%80%81import%E3%80%81__main__+%E8%88%87%E8%B2%AC%E4%BB%BB%E9%82%8A%E7%95%8C+hands+on+project+for+kids+Git+GitHub+software+engineering+testing</x:v>
      </x:c>
      <x:c r="J309" s="38" t="str">
        <x:v>課中實作參考</x:v>
      </x:c>
      <x:c r="K309" s="38" t="str">
        <x:v>8–20 分鐘</x:v>
      </x:c>
      <x:c r="L309" s="38" t="str">
        <x:v>優先找有畫面操作、步驟清楚、可暫停跟做的版本</x:v>
      </x:c>
      <x:c r="M309" s="38" t="str">
        <x:v>□ 未挑選</x:v>
      </x:c>
      <x:c r="N309" s="38" t="str"/>
      <x:c r="O309" s="38" t="str"/>
    </x:row>
    <x:row r="310">
      <x:c r="A310" s="38" t="n">
        <x:v>103</x:v>
      </x:c>
      <x:c r="B310" s="38" t="str">
        <x:v>第 3 年</x:v>
      </x:c>
      <x:c r="C310" s="38" t="str">
        <x:v>M07 Python 進階、Git 與軟體工程</x:v>
      </x:c>
      <x:c r="D310" s="38" t="n">
        <x:v>7</x:v>
      </x:c>
      <x:c r="E310" s="38" t="str">
        <x:v>Python Modules 與專案結構</x:v>
      </x:c>
      <x:c r="F310" s="38" t="n">
        <x:v>3</x:v>
      </x:c>
      <x:c r="G310" s="38" t="str">
        <x:v>中文延伸／倫理安全</x:v>
      </x:c>
      <x:c r="H310" s="38" t="str">
        <x:v>Python Modules 與專案結構 中文 教學 原理 安全 親子 Git GitHub software engineering testing</x:v>
      </x:c>
      <x:c r="I310" s="38" t="str">
        <x:v>https://www.youtube.com/results?search_query=Python+Modules+%E8%88%87%E5%B0%88%E6%A1%88%E7%B5%90%E6%A7%8B+%E4%B8%AD%E6%96%87+%E6%95%99%E5%AD%B8+%E5%8E%9F%E7%90%86+%E5%AE%89%E5%85%A8+%E8%A6%AA%E5%AD%90+Git+GitHub+software+engineering+testing</x:v>
      </x:c>
      <x:c r="J310" s="38" t="str">
        <x:v>課後延伸／親子討論</x:v>
      </x:c>
      <x:c r="K310" s="38" t="str">
        <x:v>6–15 分鐘</x:v>
      </x:c>
      <x:c r="L310" s="38" t="str">
        <x:v>補充應用、倫理、安全或真實案例；父子各說一個觀點</x:v>
      </x:c>
      <x:c r="M310" s="38" t="str">
        <x:v>□ 未挑選</x:v>
      </x:c>
      <x:c r="N310" s="38" t="str"/>
      <x:c r="O310" s="38" t="str"/>
    </x:row>
    <x:row r="311">
      <x:c r="A311" s="38" t="n">
        <x:v>104</x:v>
      </x:c>
      <x:c r="B311" s="38" t="str">
        <x:v>第 3 年</x:v>
      </x:c>
      <x:c r="C311" s="38" t="str">
        <x:v>M07 Python 進階、Git 與軟體工程</x:v>
      </x:c>
      <x:c r="D311" s="38" t="n">
        <x:v>8</x:v>
      </x:c>
      <x:c r="E311" s="38" t="str">
        <x:v>Class 與物件：會保存狀態的角色</x:v>
      </x:c>
      <x:c r="F311" s="38" t="n">
        <x:v>1</x:v>
      </x:c>
      <x:c r="G311" s="38" t="str">
        <x:v>概念入門／官方優先</x:v>
      </x:c>
      <x:c r="H311" s="38" t="str">
        <x:v>Class 與物件 會保存狀態的角色 Git GitHub software engineering testing beginner tutorial GitHub</x:v>
      </x:c>
      <x:c r="I311" s="38" t="str">
        <x:v>https://www.youtube.com/results?search_query=Class+%E8%88%87%E7%89%A9%E4%BB%B6+%E6%9C%83%E4%BF%9D%E5%AD%98%E7%8B%80%E6%85%8B%E7%9A%84%E8%A7%92%E8%89%B2+Git+GitHub+software+engineering+testing+beginner+tutorial+GitHub</x:v>
      </x:c>
      <x:c r="J311" s="38" t="str">
        <x:v>課前暖身</x:v>
      </x:c>
      <x:c r="K311" s="38" t="str">
        <x:v>5–12 分鐘</x:v>
      </x:c>
      <x:c r="L311" s="38" t="str">
        <x:v>先建立直覺；看完能說出 3 個關鍵詞</x:v>
      </x:c>
      <x:c r="M311" s="38" t="str">
        <x:v>□ 未挑選</x:v>
      </x:c>
      <x:c r="N311" s="38" t="str"/>
      <x:c r="O311" s="38" t="str"/>
    </x:row>
    <x:row r="312">
      <x:c r="A312" s="38" t="n">
        <x:v>104</x:v>
      </x:c>
      <x:c r="B312" s="38" t="str">
        <x:v>第 3 年</x:v>
      </x:c>
      <x:c r="C312" s="38" t="str">
        <x:v>M07 Python 進階、Git 與軟體工程</x:v>
      </x:c>
      <x:c r="D312" s="38" t="n">
        <x:v>8</x:v>
      </x:c>
      <x:c r="E312" s="38" t="str">
        <x:v>Class 與物件：會保存狀態的角色</x:v>
      </x:c>
      <x:c r="F312" s="38" t="n">
        <x:v>2</x:v>
      </x:c>
      <x:c r="G312" s="38" t="str">
        <x:v>跟做實作／專案導向</x:v>
      </x:c>
      <x:c r="H312" s="38" t="str">
        <x:v>Class 與物件 會保存狀態的角色 理解 class、instance、attribute、method hands on project for kids Git GitHub software engineering</x:v>
      </x:c>
      <x:c r="I312" s="38" t="str">
        <x:v>https://www.youtube.com/results?search_query=Class+%E8%88%87%E7%89%A9%E4%BB%B6+%E6%9C%83%E4%BF%9D%E5%AD%98%E7%8B%80%E6%85%8B%E7%9A%84%E8%A7%92%E8%89%B2+%E7%90%86%E8%A7%A3+class%E3%80%81instance%E3%80%81attribute%E3%80%81method+hands+on+project+for+kids+Git+GitHub+software+engineering+testing</x:v>
      </x:c>
      <x:c r="J312" s="38" t="str">
        <x:v>課中實作參考</x:v>
      </x:c>
      <x:c r="K312" s="38" t="str">
        <x:v>8–20 分鐘</x:v>
      </x:c>
      <x:c r="L312" s="38" t="str">
        <x:v>優先找有畫面操作、步驟清楚、可暫停跟做的版本</x:v>
      </x:c>
      <x:c r="M312" s="38" t="str">
        <x:v>□ 未挑選</x:v>
      </x:c>
      <x:c r="N312" s="38" t="str"/>
      <x:c r="O312" s="38" t="str"/>
    </x:row>
    <x:row r="313">
      <x:c r="A313" s="38" t="n">
        <x:v>104</x:v>
      </x:c>
      <x:c r="B313" s="38" t="str">
        <x:v>第 3 年</x:v>
      </x:c>
      <x:c r="C313" s="38" t="str">
        <x:v>M07 Python 進階、Git 與軟體工程</x:v>
      </x:c>
      <x:c r="D313" s="38" t="n">
        <x:v>8</x:v>
      </x:c>
      <x:c r="E313" s="38" t="str">
        <x:v>Class 與物件：會保存狀態的角色</x:v>
      </x:c>
      <x:c r="F313" s="38" t="n">
        <x:v>3</x:v>
      </x:c>
      <x:c r="G313" s="38" t="str">
        <x:v>中文延伸／倫理安全</x:v>
      </x:c>
      <x:c r="H313" s="38" t="str">
        <x:v>Class 與物件 會保存狀態的角色 中文 教學 原理 安全 親子 Git GitHub software engineering testing</x:v>
      </x:c>
      <x:c r="I313" s="38" t="str">
        <x:v>https://www.youtube.com/results?search_query=Class+%E8%88%87%E7%89%A9%E4%BB%B6+%E6%9C%83%E4%BF%9D%E5%AD%98%E7%8B%80%E6%85%8B%E7%9A%84%E8%A7%92%E8%89%B2+%E4%B8%AD%E6%96%87+%E6%95%99%E5%AD%B8+%E5%8E%9F%E7%90%86+%E5%AE%89%E5%85%A8+%E8%A6%AA%E5%AD%90+Git+GitHub+software+engineering+testing</x:v>
      </x:c>
      <x:c r="J313" s="38" t="str">
        <x:v>課後延伸／親子討論</x:v>
      </x:c>
      <x:c r="K313" s="38" t="str">
        <x:v>6–15 分鐘</x:v>
      </x:c>
      <x:c r="L313" s="38" t="str">
        <x:v>補充應用、倫理、安全或真實案例；父子各說一個觀點</x:v>
      </x:c>
      <x:c r="M313" s="38" t="str">
        <x:v>□ 未挑選</x:v>
      </x:c>
      <x:c r="N313" s="38" t="str"/>
      <x:c r="O313" s="38" t="str"/>
    </x:row>
    <x:row r="314">
      <x:c r="A314" s="38" t="n">
        <x:v>105</x:v>
      </x:c>
      <x:c r="B314" s="38" t="str">
        <x:v>第 3 年</x:v>
      </x:c>
      <x:c r="C314" s="38" t="str">
        <x:v>M07 Python 進階、Git 與軟體工程</x:v>
      </x:c>
      <x:c r="D314" s="38" t="n">
        <x:v>9</x:v>
      </x:c>
      <x:c r="E314" s="38" t="str">
        <x:v>測試：程式如何證明自己沒壞</x:v>
      </x:c>
      <x:c r="F314" s="38" t="n">
        <x:v>1</x:v>
      </x:c>
      <x:c r="G314" s="38" t="str">
        <x:v>概念入門／官方優先</x:v>
      </x:c>
      <x:c r="H314" s="38" t="str">
        <x:v>測試 程式如何證明自己沒壞 Git GitHub software engineering testing beginner tutorial GitHub</x:v>
      </x:c>
      <x:c r="I314" s="38" t="str">
        <x:v>https://www.youtube.com/results?search_query=%E6%B8%AC%E8%A9%A6+%E7%A8%8B%E5%BC%8F%E5%A6%82%E4%BD%95%E8%AD%89%E6%98%8E%E8%87%AA%E5%B7%B1%E6%B2%92%E5%A3%9E+Git+GitHub+software+engineering+testing+beginner+tutorial+GitHub</x:v>
      </x:c>
      <x:c r="J314" s="38" t="str">
        <x:v>課前暖身</x:v>
      </x:c>
      <x:c r="K314" s="38" t="str">
        <x:v>5–12 分鐘</x:v>
      </x:c>
      <x:c r="L314" s="38" t="str">
        <x:v>先建立直覺；看完能說出 3 個關鍵詞</x:v>
      </x:c>
      <x:c r="M314" s="38" t="str">
        <x:v>□ 未挑選</x:v>
      </x:c>
      <x:c r="N314" s="38" t="str"/>
      <x:c r="O314" s="38" t="str"/>
    </x:row>
    <x:row r="315">
      <x:c r="A315" s="38" t="n">
        <x:v>105</x:v>
      </x:c>
      <x:c r="B315" s="38" t="str">
        <x:v>第 3 年</x:v>
      </x:c>
      <x:c r="C315" s="38" t="str">
        <x:v>M07 Python 進階、Git 與軟體工程</x:v>
      </x:c>
      <x:c r="D315" s="38" t="n">
        <x:v>9</x:v>
      </x:c>
      <x:c r="E315" s="38" t="str">
        <x:v>測試：程式如何證明自己沒壞</x:v>
      </x:c>
      <x:c r="F315" s="38" t="n">
        <x:v>2</x:v>
      </x:c>
      <x:c r="G315" s="38" t="str">
        <x:v>跟做實作／專案導向</x:v>
      </x:c>
      <x:c r="H315" s="38" t="str">
        <x:v>測試 程式如何證明自己沒壞 理解 arrange act assert、正常/邊界/錯誤案例 hands on project for kids Git GitHub software</x:v>
      </x:c>
      <x:c r="I315" s="38" t="str">
        <x:v>https://www.youtube.com/results?search_query=%E6%B8%AC%E8%A9%A6+%E7%A8%8B%E5%BC%8F%E5%A6%82%E4%BD%95%E8%AD%89%E6%98%8E%E8%87%AA%E5%B7%B1%E6%B2%92%E5%A3%9E+%E7%90%86%E8%A7%A3+arrange+act+assert%E3%80%81%E6%AD%A3%E5%B8%B8%2F%E9%82%8A%E7%95%8C%2F%E9%8C%AF%E8%AA%A4%E6%A1%88%E4%BE%8B+hands+on+project+for+kids+Git+GitHub+software+engineering+testing</x:v>
      </x:c>
      <x:c r="J315" s="38" t="str">
        <x:v>課中實作參考</x:v>
      </x:c>
      <x:c r="K315" s="38" t="str">
        <x:v>8–20 分鐘</x:v>
      </x:c>
      <x:c r="L315" s="38" t="str">
        <x:v>優先找有畫面操作、步驟清楚、可暫停跟做的版本</x:v>
      </x:c>
      <x:c r="M315" s="38" t="str">
        <x:v>□ 未挑選</x:v>
      </x:c>
      <x:c r="N315" s="38" t="str"/>
      <x:c r="O315" s="38" t="str"/>
    </x:row>
    <x:row r="316">
      <x:c r="A316" s="38" t="n">
        <x:v>105</x:v>
      </x:c>
      <x:c r="B316" s="38" t="str">
        <x:v>第 3 年</x:v>
      </x:c>
      <x:c r="C316" s="38" t="str">
        <x:v>M07 Python 進階、Git 與軟體工程</x:v>
      </x:c>
      <x:c r="D316" s="38" t="n">
        <x:v>9</x:v>
      </x:c>
      <x:c r="E316" s="38" t="str">
        <x:v>測試：程式如何證明自己沒壞</x:v>
      </x:c>
      <x:c r="F316" s="38" t="n">
        <x:v>3</x:v>
      </x:c>
      <x:c r="G316" s="38" t="str">
        <x:v>中文延伸／倫理安全</x:v>
      </x:c>
      <x:c r="H316" s="38" t="str">
        <x:v>測試 程式如何證明自己沒壞 中文 教學 原理 安全 親子 Git GitHub software engineering testing</x:v>
      </x:c>
      <x:c r="I316" s="38" t="str">
        <x:v>https://www.youtube.com/results?search_query=%E6%B8%AC%E8%A9%A6+%E7%A8%8B%E5%BC%8F%E5%A6%82%E4%BD%95%E8%AD%89%E6%98%8E%E8%87%AA%E5%B7%B1%E6%B2%92%E5%A3%9E+%E4%B8%AD%E6%96%87+%E6%95%99%E5%AD%B8+%E5%8E%9F%E7%90%86+%E5%AE%89%E5%85%A8+%E8%A6%AA%E5%AD%90+Git+GitHub+software+engineering+testing</x:v>
      </x:c>
      <x:c r="J316" s="38" t="str">
        <x:v>課後延伸／親子討論</x:v>
      </x:c>
      <x:c r="K316" s="38" t="str">
        <x:v>6–15 分鐘</x:v>
      </x:c>
      <x:c r="L316" s="38" t="str">
        <x:v>補充應用、倫理、安全或真實案例；父子各說一個觀點</x:v>
      </x:c>
      <x:c r="M316" s="38" t="str">
        <x:v>□ 未挑選</x:v>
      </x:c>
      <x:c r="N316" s="38" t="str"/>
      <x:c r="O316" s="38" t="str"/>
    </x:row>
    <x:row r="317">
      <x:c r="A317" s="38" t="n">
        <x:v>106</x:v>
      </x:c>
      <x:c r="B317" s="38" t="str">
        <x:v>第 3 年</x:v>
      </x:c>
      <x:c r="C317" s="38" t="str">
        <x:v>M07 Python 進階、Git 與軟體工程</x:v>
      </x:c>
      <x:c r="D317" s="38" t="n">
        <x:v>10</x:v>
      </x:c>
      <x:c r="E317" s="38" t="str">
        <x:v>Debug 與 Logging：留下線索</x:v>
      </x:c>
      <x:c r="F317" s="38" t="n">
        <x:v>1</x:v>
      </x:c>
      <x:c r="G317" s="38" t="str">
        <x:v>概念入門／官方優先</x:v>
      </x:c>
      <x:c r="H317" s="38" t="str">
        <x:v>Debug 與 Logging 留下線索 Git GitHub software engineering testing beginner tutorial GitHub</x:v>
      </x:c>
      <x:c r="I317" s="38" t="str">
        <x:v>https://www.youtube.com/results?search_query=Debug+%E8%88%87+Logging+%E7%95%99%E4%B8%8B%E7%B7%9A%E7%B4%A2+Git+GitHub+software+engineering+testing+beginner+tutorial+GitHub</x:v>
      </x:c>
      <x:c r="J317" s="38" t="str">
        <x:v>課前暖身</x:v>
      </x:c>
      <x:c r="K317" s="38" t="str">
        <x:v>5–12 分鐘</x:v>
      </x:c>
      <x:c r="L317" s="38" t="str">
        <x:v>先建立直覺；看完能說出 3 個關鍵詞</x:v>
      </x:c>
      <x:c r="M317" s="38" t="str">
        <x:v>□ 未挑選</x:v>
      </x:c>
      <x:c r="N317" s="38" t="str"/>
      <x:c r="O317" s="38" t="str"/>
    </x:row>
    <x:row r="318">
      <x:c r="A318" s="38" t="n">
        <x:v>106</x:v>
      </x:c>
      <x:c r="B318" s="38" t="str">
        <x:v>第 3 年</x:v>
      </x:c>
      <x:c r="C318" s="38" t="str">
        <x:v>M07 Python 進階、Git 與軟體工程</x:v>
      </x:c>
      <x:c r="D318" s="38" t="n">
        <x:v>10</x:v>
      </x:c>
      <x:c r="E318" s="38" t="str">
        <x:v>Debug 與 Logging：留下線索</x:v>
      </x:c>
      <x:c r="F318" s="38" t="n">
        <x:v>2</x:v>
      </x:c>
      <x:c r="G318" s="38" t="str">
        <x:v>跟做實作／專案導向</x:v>
      </x:c>
      <x:c r="H318" s="38" t="str">
        <x:v>Debug 與 Logging 留下線索 使用 breakpoint、print/log、stack trace 與最小重現 hands on project for kids Git</x:v>
      </x:c>
      <x:c r="I318" s="38" t="str">
        <x:v>https://www.youtube.com/results?search_query=Debug+%E8%88%87+Logging+%E7%95%99%E4%B8%8B%E7%B7%9A%E7%B4%A2+%E4%BD%BF%E7%94%A8+breakpoint%E3%80%81print%2Flog%E3%80%81stack+trace+%E8%88%87%E6%9C%80%E5%B0%8F%E9%87%8D%E7%8F%BE+hands+on+project+for+kids+Git+GitHub+software+engineering+testing</x:v>
      </x:c>
      <x:c r="J318" s="38" t="str">
        <x:v>課中實作參考</x:v>
      </x:c>
      <x:c r="K318" s="38" t="str">
        <x:v>8–20 分鐘</x:v>
      </x:c>
      <x:c r="L318" s="38" t="str">
        <x:v>優先找有畫面操作、步驟清楚、可暫停跟做的版本</x:v>
      </x:c>
      <x:c r="M318" s="38" t="str">
        <x:v>□ 未挑選</x:v>
      </x:c>
      <x:c r="N318" s="38" t="str"/>
      <x:c r="O318" s="38" t="str"/>
    </x:row>
    <x:row r="319">
      <x:c r="A319" s="38" t="n">
        <x:v>106</x:v>
      </x:c>
      <x:c r="B319" s="38" t="str">
        <x:v>第 3 年</x:v>
      </x:c>
      <x:c r="C319" s="38" t="str">
        <x:v>M07 Python 進階、Git 與軟體工程</x:v>
      </x:c>
      <x:c r="D319" s="38" t="n">
        <x:v>10</x:v>
      </x:c>
      <x:c r="E319" s="38" t="str">
        <x:v>Debug 與 Logging：留下線索</x:v>
      </x:c>
      <x:c r="F319" s="38" t="n">
        <x:v>3</x:v>
      </x:c>
      <x:c r="G319" s="38" t="str">
        <x:v>中文延伸／倫理安全</x:v>
      </x:c>
      <x:c r="H319" s="38" t="str">
        <x:v>Debug 與 Logging 留下線索 中文 教學 原理 安全 親子 Git GitHub software engineering testing</x:v>
      </x:c>
      <x:c r="I319" s="38" t="str">
        <x:v>https://www.youtube.com/results?search_query=Debug+%E8%88%87+Logging+%E7%95%99%E4%B8%8B%E7%B7%9A%E7%B4%A2+%E4%B8%AD%E6%96%87+%E6%95%99%E5%AD%B8+%E5%8E%9F%E7%90%86+%E5%AE%89%E5%85%A8+%E8%A6%AA%E5%AD%90+Git+GitHub+software+engineering+testing</x:v>
      </x:c>
      <x:c r="J319" s="38" t="str">
        <x:v>課後延伸／親子討論</x:v>
      </x:c>
      <x:c r="K319" s="38" t="str">
        <x:v>6–15 分鐘</x:v>
      </x:c>
      <x:c r="L319" s="38" t="str">
        <x:v>補充應用、倫理、安全或真實案例；父子各說一個觀點</x:v>
      </x:c>
      <x:c r="M319" s="38" t="str">
        <x:v>□ 未挑選</x:v>
      </x:c>
      <x:c r="N319" s="38" t="str"/>
      <x:c r="O319" s="38" t="str"/>
    </x:row>
    <x:row r="320">
      <x:c r="A320" s="38" t="n">
        <x:v>107</x:v>
      </x:c>
      <x:c r="B320" s="38" t="str">
        <x:v>第 3 年</x:v>
      </x:c>
      <x:c r="C320" s="38" t="str">
        <x:v>M07 Python 進階、Git 與軟體工程</x:v>
      </x:c>
      <x:c r="D320" s="38" t="n">
        <x:v>11</x:v>
      </x:c>
      <x:c r="E320" s="38" t="str">
        <x:v>演算法競賽：更快不一定更好</x:v>
      </x:c>
      <x:c r="F320" s="38" t="n">
        <x:v>1</x:v>
      </x:c>
      <x:c r="G320" s="38" t="str">
        <x:v>概念入門／官方優先</x:v>
      </x:c>
      <x:c r="H320" s="38" t="str">
        <x:v>演算法競賽 更快不一定更好 Git GitHub software engineering testing beginner tutorial GitHub</x:v>
      </x:c>
      <x:c r="I320" s="38" t="str">
        <x:v>https://www.youtube.com/results?search_query=%E6%BC%94%E7%AE%97%E6%B3%95%E7%AB%B6%E8%B3%BD+%E6%9B%B4%E5%BF%AB%E4%B8%8D%E4%B8%80%E5%AE%9A%E6%9B%B4%E5%A5%BD+Git+GitHub+software+engineering+testing+beginner+tutorial+GitHub</x:v>
      </x:c>
      <x:c r="J320" s="38" t="str">
        <x:v>課前暖身</x:v>
      </x:c>
      <x:c r="K320" s="38" t="str">
        <x:v>5–12 分鐘</x:v>
      </x:c>
      <x:c r="L320" s="38" t="str">
        <x:v>先建立直覺；看完能說出 3 個關鍵詞</x:v>
      </x:c>
      <x:c r="M320" s="38" t="str">
        <x:v>□ 未挑選</x:v>
      </x:c>
      <x:c r="N320" s="38" t="str"/>
      <x:c r="O320" s="38" t="str"/>
    </x:row>
    <x:row r="321">
      <x:c r="A321" s="38" t="n">
        <x:v>107</x:v>
      </x:c>
      <x:c r="B321" s="38" t="str">
        <x:v>第 3 年</x:v>
      </x:c>
      <x:c r="C321" s="38" t="str">
        <x:v>M07 Python 進階、Git 與軟體工程</x:v>
      </x:c>
      <x:c r="D321" s="38" t="n">
        <x:v>11</x:v>
      </x:c>
      <x:c r="E321" s="38" t="str">
        <x:v>演算法競賽：更快不一定更好</x:v>
      </x:c>
      <x:c r="F321" s="38" t="n">
        <x:v>2</x:v>
      </x:c>
      <x:c r="G321" s="38" t="str">
        <x:v>跟做實作／專案導向</x:v>
      </x:c>
      <x:c r="H321" s="38" t="str">
        <x:v>演算法競賽 更快不一定更好 比較線性搜尋、排序與時間複雜度直覺 hands on project for kids Git GitHub software engineering testing</x:v>
      </x:c>
      <x:c r="I321" s="38" t="str">
        <x:v>https://www.youtube.com/results?search_query=%E6%BC%94%E7%AE%97%E6%B3%95%E7%AB%B6%E8%B3%BD+%E6%9B%B4%E5%BF%AB%E4%B8%8D%E4%B8%80%E5%AE%9A%E6%9B%B4%E5%A5%BD+%E6%AF%94%E8%BC%83%E7%B7%9A%E6%80%A7%E6%90%9C%E5%B0%8B%E3%80%81%E6%8E%92%E5%BA%8F%E8%88%87%E6%99%82%E9%96%93%E8%A4%87%E9%9B%9C%E5%BA%A6%E7%9B%B4%E8%A6%BA+hands+on+project+for+kids+Git+GitHub+software+engineering+testing</x:v>
      </x:c>
      <x:c r="J321" s="38" t="str">
        <x:v>課中實作參考</x:v>
      </x:c>
      <x:c r="K321" s="38" t="str">
        <x:v>8–20 分鐘</x:v>
      </x:c>
      <x:c r="L321" s="38" t="str">
        <x:v>優先找有畫面操作、步驟清楚、可暫停跟做的版本</x:v>
      </x:c>
      <x:c r="M321" s="38" t="str">
        <x:v>□ 未挑選</x:v>
      </x:c>
      <x:c r="N321" s="38" t="str"/>
      <x:c r="O321" s="38" t="str"/>
    </x:row>
    <x:row r="322">
      <x:c r="A322" s="38" t="n">
        <x:v>107</x:v>
      </x:c>
      <x:c r="B322" s="38" t="str">
        <x:v>第 3 年</x:v>
      </x:c>
      <x:c r="C322" s="38" t="str">
        <x:v>M07 Python 進階、Git 與軟體工程</x:v>
      </x:c>
      <x:c r="D322" s="38" t="n">
        <x:v>11</x:v>
      </x:c>
      <x:c r="E322" s="38" t="str">
        <x:v>演算法競賽：更快不一定更好</x:v>
      </x:c>
      <x:c r="F322" s="38" t="n">
        <x:v>3</x:v>
      </x:c>
      <x:c r="G322" s="38" t="str">
        <x:v>中文延伸／倫理安全</x:v>
      </x:c>
      <x:c r="H322" s="38" t="str">
        <x:v>演算法競賽 更快不一定更好 中文 教學 原理 安全 親子 Git GitHub software engineering testing</x:v>
      </x:c>
      <x:c r="I322" s="38" t="str">
        <x:v>https://www.youtube.com/results?search_query=%E6%BC%94%E7%AE%97%E6%B3%95%E7%AB%B6%E8%B3%BD+%E6%9B%B4%E5%BF%AB%E4%B8%8D%E4%B8%80%E5%AE%9A%E6%9B%B4%E5%A5%BD+%E4%B8%AD%E6%96%87+%E6%95%99%E5%AD%B8+%E5%8E%9F%E7%90%86+%E5%AE%89%E5%85%A8+%E8%A6%AA%E5%AD%90+Git+GitHub+software+engineering+testing</x:v>
      </x:c>
      <x:c r="J322" s="38" t="str">
        <x:v>課後延伸／親子討論</x:v>
      </x:c>
      <x:c r="K322" s="38" t="str">
        <x:v>6–15 分鐘</x:v>
      </x:c>
      <x:c r="L322" s="38" t="str">
        <x:v>補充應用、倫理、安全或真實案例；父子各說一個觀點</x:v>
      </x:c>
      <x:c r="M322" s="38" t="str">
        <x:v>□ 未挑選</x:v>
      </x:c>
      <x:c r="N322" s="38" t="str"/>
      <x:c r="O322" s="38" t="str"/>
    </x:row>
    <x:row r="323">
      <x:c r="A323" s="38" t="n">
        <x:v>108</x:v>
      </x:c>
      <x:c r="B323" s="38" t="str">
        <x:v>第 3 年</x:v>
      </x:c>
      <x:c r="C323" s="38" t="str">
        <x:v>M07 Python 進階、Git 與軟體工程</x:v>
      </x:c>
      <x:c r="D323" s="38" t="n">
        <x:v>12</x:v>
      </x:c>
      <x:c r="E323" s="38" t="str">
        <x:v>資料結構選擇：list、dict、set、queue</x:v>
      </x:c>
      <x:c r="F323" s="38" t="n">
        <x:v>1</x:v>
      </x:c>
      <x:c r="G323" s="38" t="str">
        <x:v>概念入門／官方優先</x:v>
      </x:c>
      <x:c r="H323" s="38" t="str">
        <x:v>資料結構選擇 list、dict、set、queue Git GitHub software engineering testing beginner tutorial GitHub</x:v>
      </x:c>
      <x:c r="I323" s="38" t="str">
        <x:v>https://www.youtube.com/results?search_query=%E8%B3%87%E6%96%99%E7%B5%90%E6%A7%8B%E9%81%B8%E6%93%87+list%E3%80%81dict%E3%80%81set%E3%80%81queue+Git+GitHub+software+engineering+testing+beginner+tutorial+GitHub</x:v>
      </x:c>
      <x:c r="J323" s="38" t="str">
        <x:v>課前暖身</x:v>
      </x:c>
      <x:c r="K323" s="38" t="str">
        <x:v>5–12 分鐘</x:v>
      </x:c>
      <x:c r="L323" s="38" t="str">
        <x:v>先建立直覺；看完能說出 3 個關鍵詞</x:v>
      </x:c>
      <x:c r="M323" s="38" t="str">
        <x:v>□ 未挑選</x:v>
      </x:c>
      <x:c r="N323" s="38" t="str"/>
      <x:c r="O323" s="38" t="str"/>
    </x:row>
    <x:row r="324">
      <x:c r="A324" s="38" t="n">
        <x:v>108</x:v>
      </x:c>
      <x:c r="B324" s="38" t="str">
        <x:v>第 3 年</x:v>
      </x:c>
      <x:c r="C324" s="38" t="str">
        <x:v>M07 Python 進階、Git 與軟體工程</x:v>
      </x:c>
      <x:c r="D324" s="38" t="n">
        <x:v>12</x:v>
      </x:c>
      <x:c r="E324" s="38" t="str">
        <x:v>資料結構選擇：list、dict、set、queue</x:v>
      </x:c>
      <x:c r="F324" s="38" t="n">
        <x:v>2</x:v>
      </x:c>
      <x:c r="G324" s="38" t="str">
        <x:v>跟做實作／專案導向</x:v>
      </x:c>
      <x:c r="H324" s="38" t="str">
        <x:v>資料結構選擇 list、dict、set、queue 依需求選擇資料結構並說明取捨 hands on project for kids Git GitHub software engineering testing</x:v>
      </x:c>
      <x:c r="I324" s="38" t="str">
        <x:v>https://www.youtube.com/results?search_query=%E8%B3%87%E6%96%99%E7%B5%90%E6%A7%8B%E9%81%B8%E6%93%87+list%E3%80%81dict%E3%80%81set%E3%80%81queue+%E4%BE%9D%E9%9C%80%E6%B1%82%E9%81%B8%E6%93%87%E8%B3%87%E6%96%99%E7%B5%90%E6%A7%8B%E4%B8%A6%E8%AA%AA%E6%98%8E%E5%8F%96%E6%8D%A8+hands+on+project+for+kids+Git+GitHub+software+engineering+testing</x:v>
      </x:c>
      <x:c r="J324" s="38" t="str">
        <x:v>課中實作參考</x:v>
      </x:c>
      <x:c r="K324" s="38" t="str">
        <x:v>8–20 分鐘</x:v>
      </x:c>
      <x:c r="L324" s="38" t="str">
        <x:v>優先找有畫面操作、步驟清楚、可暫停跟做的版本</x:v>
      </x:c>
      <x:c r="M324" s="38" t="str">
        <x:v>□ 未挑選</x:v>
      </x:c>
      <x:c r="N324" s="38" t="str"/>
      <x:c r="O324" s="38" t="str"/>
    </x:row>
    <x:row r="325">
      <x:c r="A325" s="38" t="n">
        <x:v>108</x:v>
      </x:c>
      <x:c r="B325" s="38" t="str">
        <x:v>第 3 年</x:v>
      </x:c>
      <x:c r="C325" s="38" t="str">
        <x:v>M07 Python 進階、Git 與軟體工程</x:v>
      </x:c>
      <x:c r="D325" s="38" t="n">
        <x:v>12</x:v>
      </x:c>
      <x:c r="E325" s="38" t="str">
        <x:v>資料結構選擇：list、dict、set、queue</x:v>
      </x:c>
      <x:c r="F325" s="38" t="n">
        <x:v>3</x:v>
      </x:c>
      <x:c r="G325" s="38" t="str">
        <x:v>中文延伸／倫理安全</x:v>
      </x:c>
      <x:c r="H325" s="38" t="str">
        <x:v>資料結構選擇 list、dict、set、queue 中文 教學 原理 安全 親子 Git GitHub software engineering testing</x:v>
      </x:c>
      <x:c r="I325" s="38" t="str">
        <x:v>https://www.youtube.com/results?search_query=%E8%B3%87%E6%96%99%E7%B5%90%E6%A7%8B%E9%81%B8%E6%93%87+list%E3%80%81dict%E3%80%81set%E3%80%81queue+%E4%B8%AD%E6%96%87+%E6%95%99%E5%AD%B8+%E5%8E%9F%E7%90%86+%E5%AE%89%E5%85%A8+%E8%A6%AA%E5%AD%90+Git+GitHub+software+engineering+testing</x:v>
      </x:c>
      <x:c r="J325" s="38" t="str">
        <x:v>課後延伸／親子討論</x:v>
      </x:c>
      <x:c r="K325" s="38" t="str">
        <x:v>6–15 分鐘</x:v>
      </x:c>
      <x:c r="L325" s="38" t="str">
        <x:v>補充應用、倫理、安全或真實案例；父子各說一個觀點</x:v>
      </x:c>
      <x:c r="M325" s="38" t="str">
        <x:v>□ 未挑選</x:v>
      </x:c>
      <x:c r="N325" s="38" t="str"/>
      <x:c r="O325" s="38" t="str"/>
    </x:row>
    <x:row r="326">
      <x:c r="A326" s="38" t="n">
        <x:v>109</x:v>
      </x:c>
      <x:c r="B326" s="38" t="str">
        <x:v>第 3 年</x:v>
      </x:c>
      <x:c r="C326" s="38" t="str">
        <x:v>M07 Python 進階、Git 與軟體工程</x:v>
      </x:c>
      <x:c r="D326" s="38" t="n">
        <x:v>13</x:v>
      </x:c>
      <x:c r="E326" s="38" t="str">
        <x:v>和 AI Pair Programming</x:v>
      </x:c>
      <x:c r="F326" s="38" t="n">
        <x:v>1</x:v>
      </x:c>
      <x:c r="G326" s="38" t="str">
        <x:v>概念入門／官方優先</x:v>
      </x:c>
      <x:c r="H326" s="38" t="str">
        <x:v>和 AI Pair Programming Git GitHub software engineering testing beginner tutorial GitHub</x:v>
      </x:c>
      <x:c r="I326" s="38" t="str">
        <x:v>https://www.youtube.com/results?search_query=%E5%92%8C+AI+Pair+Programming+Git+GitHub+software+engineering+testing+beginner+tutorial+GitHub</x:v>
      </x:c>
      <x:c r="J326" s="38" t="str">
        <x:v>課前暖身</x:v>
      </x:c>
      <x:c r="K326" s="38" t="str">
        <x:v>5–12 分鐘</x:v>
      </x:c>
      <x:c r="L326" s="38" t="str">
        <x:v>先建立直覺；看完能說出 3 個關鍵詞</x:v>
      </x:c>
      <x:c r="M326" s="38" t="str">
        <x:v>□ 未挑選</x:v>
      </x:c>
      <x:c r="N326" s="38" t="str"/>
      <x:c r="O326" s="38" t="str"/>
    </x:row>
    <x:row r="327">
      <x:c r="A327" s="38" t="n">
        <x:v>109</x:v>
      </x:c>
      <x:c r="B327" s="38" t="str">
        <x:v>第 3 年</x:v>
      </x:c>
      <x:c r="C327" s="38" t="str">
        <x:v>M07 Python 進階、Git 與軟體工程</x:v>
      </x:c>
      <x:c r="D327" s="38" t="n">
        <x:v>13</x:v>
      </x:c>
      <x:c r="E327" s="38" t="str">
        <x:v>和 AI Pair Programming</x:v>
      </x:c>
      <x:c r="F327" s="38" t="n">
        <x:v>2</x:v>
      </x:c>
      <x:c r="G327" s="38" t="str">
        <x:v>跟做實作／專案導向</x:v>
      </x:c>
      <x:c r="H327" s="38" t="str">
        <x:v>和 AI Pair Programming 學會先寫需求與測試，再讓 AI 提方案並逐行審查 hands on project for kids Git GitHub</x:v>
      </x:c>
      <x:c r="I327" s="38" t="str">
        <x:v>https://www.youtube.com/results?search_query=%E5%92%8C+AI+Pair+Programming+%E5%AD%B8%E6%9C%83%E5%85%88%E5%AF%AB%E9%9C%80%E6%B1%82%E8%88%87%E6%B8%AC%E8%A9%A6%EF%BC%8C%E5%86%8D%E8%AE%93+AI+%E6%8F%90%E6%96%B9%E6%A1%88%E4%B8%A6%E9%80%90%E8%A1%8C%E5%AF%A9%E6%9F%A5+hands+on+project+for+kids+Git+GitHub+software+engineering+testing</x:v>
      </x:c>
      <x:c r="J327" s="38" t="str">
        <x:v>課中實作參考</x:v>
      </x:c>
      <x:c r="K327" s="38" t="str">
        <x:v>8–20 分鐘</x:v>
      </x:c>
      <x:c r="L327" s="38" t="str">
        <x:v>優先找有畫面操作、步驟清楚、可暫停跟做的版本</x:v>
      </x:c>
      <x:c r="M327" s="38" t="str">
        <x:v>□ 未挑選</x:v>
      </x:c>
      <x:c r="N327" s="38" t="str"/>
      <x:c r="O327" s="38" t="str"/>
    </x:row>
    <x:row r="328">
      <x:c r="A328" s="38" t="n">
        <x:v>109</x:v>
      </x:c>
      <x:c r="B328" s="38" t="str">
        <x:v>第 3 年</x:v>
      </x:c>
      <x:c r="C328" s="38" t="str">
        <x:v>M07 Python 進階、Git 與軟體工程</x:v>
      </x:c>
      <x:c r="D328" s="38" t="n">
        <x:v>13</x:v>
      </x:c>
      <x:c r="E328" s="38" t="str">
        <x:v>和 AI Pair Programming</x:v>
      </x:c>
      <x:c r="F328" s="38" t="n">
        <x:v>3</x:v>
      </x:c>
      <x:c r="G328" s="38" t="str">
        <x:v>中文延伸／倫理安全</x:v>
      </x:c>
      <x:c r="H328" s="38" t="str">
        <x:v>和 AI Pair Programming 中文 教學 原理 安全 親子 Git GitHub software engineering testing</x:v>
      </x:c>
      <x:c r="I328" s="38" t="str">
        <x:v>https://www.youtube.com/results?search_query=%E5%92%8C+AI+Pair+Programming+%E4%B8%AD%E6%96%87+%E6%95%99%E5%AD%B8+%E5%8E%9F%E7%90%86+%E5%AE%89%E5%85%A8+%E8%A6%AA%E5%AD%90+Git+GitHub+software+engineering+testing</x:v>
      </x:c>
      <x:c r="J328" s="38" t="str">
        <x:v>課後延伸／親子討論</x:v>
      </x:c>
      <x:c r="K328" s="38" t="str">
        <x:v>6–15 分鐘</x:v>
      </x:c>
      <x:c r="L328" s="38" t="str">
        <x:v>補充應用、倫理、安全或真實案例；父子各說一個觀點</x:v>
      </x:c>
      <x:c r="M328" s="38" t="str">
        <x:v>□ 未挑選</x:v>
      </x:c>
      <x:c r="N328" s="38" t="str"/>
      <x:c r="O328" s="38" t="str"/>
    </x:row>
    <x:row r="329">
      <x:c r="A329" s="38" t="n">
        <x:v>110</x:v>
      </x:c>
      <x:c r="B329" s="38" t="str">
        <x:v>第 3 年</x:v>
      </x:c>
      <x:c r="C329" s="38" t="str">
        <x:v>M07 Python 進階、Git 與軟體工程</x:v>
      </x:c>
      <x:c r="D329" s="38" t="n">
        <x:v>14</x:v>
      </x:c>
      <x:c r="E329" s="38" t="str">
        <x:v>CLI 工具企劃：解決一個真問題</x:v>
      </x:c>
      <x:c r="F329" s="38" t="n">
        <x:v>1</x:v>
      </x:c>
      <x:c r="G329" s="38" t="str">
        <x:v>概念入門／官方優先</x:v>
      </x:c>
      <x:c r="H329" s="38" t="str">
        <x:v>CLI 工具企劃 解決一個真問題 Git GitHub software engineering testing beginner tutorial GitHub</x:v>
      </x:c>
      <x:c r="I329" s="38" t="str">
        <x:v>https://www.youtube.com/results?search_query=CLI+%E5%B7%A5%E5%85%B7%E4%BC%81%E5%8A%83+%E8%A7%A3%E6%B1%BA%E4%B8%80%E5%80%8B%E7%9C%9F%E5%95%8F%E9%A1%8C+Git+GitHub+software+engineering+testing+beginner+tutorial+GitHub</x:v>
      </x:c>
      <x:c r="J329" s="38" t="str">
        <x:v>課前暖身</x:v>
      </x:c>
      <x:c r="K329" s="38" t="str">
        <x:v>5–12 分鐘</x:v>
      </x:c>
      <x:c r="L329" s="38" t="str">
        <x:v>先建立直覺；看完能說出 3 個關鍵詞</x:v>
      </x:c>
      <x:c r="M329" s="38" t="str">
        <x:v>□ 未挑選</x:v>
      </x:c>
      <x:c r="N329" s="38" t="str"/>
      <x:c r="O329" s="38" t="str"/>
    </x:row>
    <x:row r="330">
      <x:c r="A330" s="38" t="n">
        <x:v>110</x:v>
      </x:c>
      <x:c r="B330" s="38" t="str">
        <x:v>第 3 年</x:v>
      </x:c>
      <x:c r="C330" s="38" t="str">
        <x:v>M07 Python 進階、Git 與軟體工程</x:v>
      </x:c>
      <x:c r="D330" s="38" t="n">
        <x:v>14</x:v>
      </x:c>
      <x:c r="E330" s="38" t="str">
        <x:v>CLI 工具企劃：解決一個真問題</x:v>
      </x:c>
      <x:c r="F330" s="38" t="n">
        <x:v>2</x:v>
      </x:c>
      <x:c r="G330" s="38" t="str">
        <x:v>跟做實作／專案導向</x:v>
      </x:c>
      <x:c r="H330" s="38" t="str">
        <x:v>CLI 工具企劃 解決一個真問題 定義使用者、命令、輸入輸出、錯誤與資料格式 hands on project for kids Git GitHub software engineering testing</x:v>
      </x:c>
      <x:c r="I330" s="38" t="str">
        <x:v>https://www.youtube.com/results?search_query=CLI+%E5%B7%A5%E5%85%B7%E4%BC%81%E5%8A%83+%E8%A7%A3%E6%B1%BA%E4%B8%80%E5%80%8B%E7%9C%9F%E5%95%8F%E9%A1%8C+%E5%AE%9A%E7%BE%A9%E4%BD%BF%E7%94%A8%E8%80%85%E3%80%81%E5%91%BD%E4%BB%A4%E3%80%81%E8%BC%B8%E5%85%A5%E8%BC%B8%E5%87%BA%E3%80%81%E9%8C%AF%E8%AA%A4%E8%88%87%E8%B3%87%E6%96%99%E6%A0%BC%E5%BC%8F+hands+on+project+for+kids+Git+GitHub+software+engineering+testing</x:v>
      </x:c>
      <x:c r="J330" s="38" t="str">
        <x:v>課中實作參考</x:v>
      </x:c>
      <x:c r="K330" s="38" t="str">
        <x:v>8–20 分鐘</x:v>
      </x:c>
      <x:c r="L330" s="38" t="str">
        <x:v>優先找有畫面操作、步驟清楚、可暫停跟做的版本</x:v>
      </x:c>
      <x:c r="M330" s="38" t="str">
        <x:v>□ 未挑選</x:v>
      </x:c>
      <x:c r="N330" s="38" t="str"/>
      <x:c r="O330" s="38" t="str"/>
    </x:row>
    <x:row r="331">
      <x:c r="A331" s="38" t="n">
        <x:v>110</x:v>
      </x:c>
      <x:c r="B331" s="38" t="str">
        <x:v>第 3 年</x:v>
      </x:c>
      <x:c r="C331" s="38" t="str">
        <x:v>M07 Python 進階、Git 與軟體工程</x:v>
      </x:c>
      <x:c r="D331" s="38" t="n">
        <x:v>14</x:v>
      </x:c>
      <x:c r="E331" s="38" t="str">
        <x:v>CLI 工具企劃：解決一個真問題</x:v>
      </x:c>
      <x:c r="F331" s="38" t="n">
        <x:v>3</x:v>
      </x:c>
      <x:c r="G331" s="38" t="str">
        <x:v>中文延伸／倫理安全</x:v>
      </x:c>
      <x:c r="H331" s="38" t="str">
        <x:v>CLI 工具企劃 解決一個真問題 中文 教學 原理 安全 親子 Git GitHub software engineering testing</x:v>
      </x:c>
      <x:c r="I331" s="38" t="str">
        <x:v>https://www.youtube.com/results?search_query=CLI+%E5%B7%A5%E5%85%B7%E4%BC%81%E5%8A%83+%E8%A7%A3%E6%B1%BA%E4%B8%80%E5%80%8B%E7%9C%9F%E5%95%8F%E9%A1%8C+%E4%B8%AD%E6%96%87+%E6%95%99%E5%AD%B8+%E5%8E%9F%E7%90%86+%E5%AE%89%E5%85%A8+%E8%A6%AA%E5%AD%90+Git+GitHub+software+engineering+testing</x:v>
      </x:c>
      <x:c r="J331" s="38" t="str">
        <x:v>課後延伸／親子討論</x:v>
      </x:c>
      <x:c r="K331" s="38" t="str">
        <x:v>6–15 分鐘</x:v>
      </x:c>
      <x:c r="L331" s="38" t="str">
        <x:v>補充應用、倫理、安全或真實案例；父子各說一個觀點</x:v>
      </x:c>
      <x:c r="M331" s="38" t="str">
        <x:v>□ 未挑選</x:v>
      </x:c>
      <x:c r="N331" s="38" t="str"/>
      <x:c r="O331" s="38" t="str"/>
    </x:row>
    <x:row r="332">
      <x:c r="A332" s="38" t="n">
        <x:v>111</x:v>
      </x:c>
      <x:c r="B332" s="38" t="str">
        <x:v>第 3 年</x:v>
      </x:c>
      <x:c r="C332" s="38" t="str">
        <x:v>M07 Python 進階、Git 與軟體工程</x:v>
      </x:c>
      <x:c r="D332" s="38" t="n">
        <x:v>15</x:v>
      </x:c>
      <x:c r="E332" s="38" t="str">
        <x:v>Code Review 與 Release Candidate</x:v>
      </x:c>
      <x:c r="F332" s="38" t="n">
        <x:v>1</x:v>
      </x:c>
      <x:c r="G332" s="38" t="str">
        <x:v>概念入門／官方優先</x:v>
      </x:c>
      <x:c r="H332" s="38" t="str">
        <x:v>Code Review 與 Release Candidate Git GitHub software engineering testing beginner tutorial GitHub</x:v>
      </x:c>
      <x:c r="I332" s="38" t="str">
        <x:v>https://www.youtube.com/results?search_query=Code+Review+%E8%88%87+Release+Candidate+Git+GitHub+software+engineering+testing+beginner+tutorial+GitHub</x:v>
      </x:c>
      <x:c r="J332" s="38" t="str">
        <x:v>課前暖身</x:v>
      </x:c>
      <x:c r="K332" s="38" t="str">
        <x:v>5–12 分鐘</x:v>
      </x:c>
      <x:c r="L332" s="38" t="str">
        <x:v>先建立直覺；看完能說出 3 個關鍵詞</x:v>
      </x:c>
      <x:c r="M332" s="38" t="str">
        <x:v>□ 未挑選</x:v>
      </x:c>
      <x:c r="N332" s="38" t="str"/>
      <x:c r="O332" s="38" t="str"/>
    </x:row>
    <x:row r="333">
      <x:c r="A333" s="38" t="n">
        <x:v>111</x:v>
      </x:c>
      <x:c r="B333" s="38" t="str">
        <x:v>第 3 年</x:v>
      </x:c>
      <x:c r="C333" s="38" t="str">
        <x:v>M07 Python 進階、Git 與軟體工程</x:v>
      </x:c>
      <x:c r="D333" s="38" t="n">
        <x:v>15</x:v>
      </x:c>
      <x:c r="E333" s="38" t="str">
        <x:v>Code Review 與 Release Candidate</x:v>
      </x:c>
      <x:c r="F333" s="38" t="n">
        <x:v>2</x:v>
      </x:c>
      <x:c r="G333" s="38" t="str">
        <x:v>跟做實作／專案導向</x:v>
      </x:c>
      <x:c r="H333" s="38" t="str">
        <x:v>Code Review 與 Release Candidate 從正確性、可讀性、測試、安全與文件審查 hands on project for kids Git GitHub software</x:v>
      </x:c>
      <x:c r="I333" s="38" t="str">
        <x:v>https://www.youtube.com/results?search_query=Code+Review+%E8%88%87+Release+Candidate+%E5%BE%9E%E6%AD%A3%E7%A2%BA%E6%80%A7%E3%80%81%E5%8F%AF%E8%AE%80%E6%80%A7%E3%80%81%E6%B8%AC%E8%A9%A6%E3%80%81%E5%AE%89%E5%85%A8%E8%88%87%E6%96%87%E4%BB%B6%E5%AF%A9%E6%9F%A5+hands+on+project+for+kids+Git+GitHub+software+engineering+testing</x:v>
      </x:c>
      <x:c r="J333" s="38" t="str">
        <x:v>課中實作參考</x:v>
      </x:c>
      <x:c r="K333" s="38" t="str">
        <x:v>8–20 分鐘</x:v>
      </x:c>
      <x:c r="L333" s="38" t="str">
        <x:v>優先找有畫面操作、步驟清楚、可暫停跟做的版本</x:v>
      </x:c>
      <x:c r="M333" s="38" t="str">
        <x:v>□ 未挑選</x:v>
      </x:c>
      <x:c r="N333" s="38" t="str"/>
      <x:c r="O333" s="38" t="str"/>
    </x:row>
    <x:row r="334">
      <x:c r="A334" s="38" t="n">
        <x:v>111</x:v>
      </x:c>
      <x:c r="B334" s="38" t="str">
        <x:v>第 3 年</x:v>
      </x:c>
      <x:c r="C334" s="38" t="str">
        <x:v>M07 Python 進階、Git 與軟體工程</x:v>
      </x:c>
      <x:c r="D334" s="38" t="n">
        <x:v>15</x:v>
      </x:c>
      <x:c r="E334" s="38" t="str">
        <x:v>Code Review 與 Release Candidate</x:v>
      </x:c>
      <x:c r="F334" s="38" t="n">
        <x:v>3</x:v>
      </x:c>
      <x:c r="G334" s="38" t="str">
        <x:v>中文延伸／倫理安全</x:v>
      </x:c>
      <x:c r="H334" s="38" t="str">
        <x:v>Code Review 與 Release Candidate 中文 教學 原理 安全 親子 Git GitHub software engineering</x:v>
      </x:c>
      <x:c r="I334" s="38" t="str">
        <x:v>https://www.youtube.com/results?search_query=Code+Review+%E8%88%87+Release+Candidate+%E4%B8%AD%E6%96%87+%E6%95%99%E5%AD%B8+%E5%8E%9F%E7%90%86+%E5%AE%89%E5%85%A8+%E8%A6%AA%E5%AD%90+Git+GitHub+software+engineering+testing</x:v>
      </x:c>
      <x:c r="J334" s="38" t="str">
        <x:v>課後延伸／親子討論</x:v>
      </x:c>
      <x:c r="K334" s="38" t="str">
        <x:v>6–15 分鐘</x:v>
      </x:c>
      <x:c r="L334" s="38" t="str">
        <x:v>補充應用、倫理、安全或真實案例；父子各說一個觀點</x:v>
      </x:c>
      <x:c r="M334" s="38" t="str">
        <x:v>□ 未挑選</x:v>
      </x:c>
      <x:c r="N334" s="38" t="str"/>
      <x:c r="O334" s="38" t="str"/>
    </x:row>
    <x:row r="335">
      <x:c r="A335" s="38" t="n">
        <x:v>112</x:v>
      </x:c>
      <x:c r="B335" s="38" t="str">
        <x:v>第 3 年</x:v>
      </x:c>
      <x:c r="C335" s="38" t="str">
        <x:v>M07 Python 進階、Git 與軟體工程</x:v>
      </x:c>
      <x:c r="D335" s="38" t="n">
        <x:v>16</x:v>
      </x:c>
      <x:c r="E335" s="38" t="str">
        <x:v>發布 v1.0 與回顧</x:v>
      </x:c>
      <x:c r="F335" s="38" t="n">
        <x:v>1</x:v>
      </x:c>
      <x:c r="G335" s="38" t="str">
        <x:v>概念入門／官方優先</x:v>
      </x:c>
      <x:c r="H335" s="38" t="str">
        <x:v>發布 v1.0 與回顧 Git GitHub software engineering testing beginner tutorial GitHub</x:v>
      </x:c>
      <x:c r="I335" s="38" t="str">
        <x:v>https://www.youtube.com/results?search_query=%E7%99%BC%E5%B8%83+v1.0+%E8%88%87%E5%9B%9E%E9%A1%A7+Git+GitHub+software+engineering+testing+beginner+tutorial+GitHub</x:v>
      </x:c>
      <x:c r="J335" s="38" t="str">
        <x:v>課前暖身</x:v>
      </x:c>
      <x:c r="K335" s="38" t="str">
        <x:v>5–12 分鐘</x:v>
      </x:c>
      <x:c r="L335" s="38" t="str">
        <x:v>先建立直覺；看完能說出 3 個關鍵詞</x:v>
      </x:c>
      <x:c r="M335" s="38" t="str">
        <x:v>□ 未挑選</x:v>
      </x:c>
      <x:c r="N335" s="38" t="str"/>
      <x:c r="O335" s="38" t="str"/>
    </x:row>
    <x:row r="336">
      <x:c r="A336" s="38" t="n">
        <x:v>112</x:v>
      </x:c>
      <x:c r="B336" s="38" t="str">
        <x:v>第 3 年</x:v>
      </x:c>
      <x:c r="C336" s="38" t="str">
        <x:v>M07 Python 進階、Git 與軟體工程</x:v>
      </x:c>
      <x:c r="D336" s="38" t="n">
        <x:v>16</x:v>
      </x:c>
      <x:c r="E336" s="38" t="str">
        <x:v>發布 v1.0 與回顧</x:v>
      </x:c>
      <x:c r="F336" s="38" t="n">
        <x:v>2</x:v>
      </x:c>
      <x:c r="G336" s="38" t="str">
        <x:v>跟做實作／專案導向</x:v>
      </x:c>
      <x:c r="H336" s="38" t="str">
        <x:v>發布 v1.0 與回顧 建立 tag、版本說明、安裝步驟與後續 Roadmap hands on project for kids Git GitHub software</x:v>
      </x:c>
      <x:c r="I336" s="38" t="str">
        <x:v>https://www.youtube.com/results?search_query=%E7%99%BC%E5%B8%83+v1.0+%E8%88%87%E5%9B%9E%E9%A1%A7+%E5%BB%BA%E7%AB%8B+tag%E3%80%81%E7%89%88%E6%9C%AC%E8%AA%AA%E6%98%8E%E3%80%81%E5%AE%89%E8%A3%9D%E6%AD%A5%E9%A9%9F%E8%88%87%E5%BE%8C%E7%BA%8C+Roadmap+hands+on+project+for+kids+Git+GitHub+software+engineering+testing</x:v>
      </x:c>
      <x:c r="J336" s="38" t="str">
        <x:v>課中實作參考</x:v>
      </x:c>
      <x:c r="K336" s="38" t="str">
        <x:v>8–20 分鐘</x:v>
      </x:c>
      <x:c r="L336" s="38" t="str">
        <x:v>優先找有畫面操作、步驟清楚、可暫停跟做的版本</x:v>
      </x:c>
      <x:c r="M336" s="38" t="str">
        <x:v>□ 未挑選</x:v>
      </x:c>
      <x:c r="N336" s="38" t="str"/>
      <x:c r="O336" s="38" t="str"/>
    </x:row>
    <x:row r="337">
      <x:c r="A337" s="38" t="n">
        <x:v>112</x:v>
      </x:c>
      <x:c r="B337" s="38" t="str">
        <x:v>第 3 年</x:v>
      </x:c>
      <x:c r="C337" s="38" t="str">
        <x:v>M07 Python 進階、Git 與軟體工程</x:v>
      </x:c>
      <x:c r="D337" s="38" t="n">
        <x:v>16</x:v>
      </x:c>
      <x:c r="E337" s="38" t="str">
        <x:v>發布 v1.0 與回顧</x:v>
      </x:c>
      <x:c r="F337" s="38" t="n">
        <x:v>3</x:v>
      </x:c>
      <x:c r="G337" s="38" t="str">
        <x:v>中文延伸／倫理安全</x:v>
      </x:c>
      <x:c r="H337" s="38" t="str">
        <x:v>發布 v1.0 與回顧 中文 教學 原理 安全 親子 Git GitHub software engineering testing</x:v>
      </x:c>
      <x:c r="I337" s="38" t="str">
        <x:v>https://www.youtube.com/results?search_query=%E7%99%BC%E5%B8%83+v1.0+%E8%88%87%E5%9B%9E%E9%A1%A7+%E4%B8%AD%E6%96%87+%E6%95%99%E5%AD%B8+%E5%8E%9F%E7%90%86+%E5%AE%89%E5%85%A8+%E8%A6%AA%E5%AD%90+Git+GitHub+software+engineering+testing</x:v>
      </x:c>
      <x:c r="J337" s="38" t="str">
        <x:v>課後延伸／親子討論</x:v>
      </x:c>
      <x:c r="K337" s="38" t="str">
        <x:v>6–15 分鐘</x:v>
      </x:c>
      <x:c r="L337" s="38" t="str">
        <x:v>補充應用、倫理、安全或真實案例；父子各說一個觀點</x:v>
      </x:c>
      <x:c r="M337" s="38" t="str">
        <x:v>□ 未挑選</x:v>
      </x:c>
      <x:c r="N337" s="38" t="str"/>
      <x:c r="O337" s="38" t="str"/>
    </x:row>
    <x:row r="338">
      <x:c r="A338" s="38" t="n">
        <x:v>113</x:v>
      </x:c>
      <x:c r="B338" s="38" t="str">
        <x:v>第 3 年</x:v>
      </x:c>
      <x:c r="C338" s="38" t="str">
        <x:v>M08 資料科學與電池／能源探險</x:v>
      </x:c>
      <x:c r="D338" s="38" t="n">
        <x:v>1</x:v>
      </x:c>
      <x:c r="E338" s="38" t="str">
        <x:v>資料從哪裡來：量測就是提問</x:v>
      </x:c>
      <x:c r="F338" s="38" t="n">
        <x:v>1</x:v>
      </x:c>
      <x:c r="G338" s="38" t="str">
        <x:v>概念入門／官方優先</x:v>
      </x:c>
      <x:c r="H338" s="38" t="str">
        <x:v>資料從哪裡來 量測就是提問 data science battery energy visualization beginner tutorial Khan</x:v>
      </x:c>
      <x:c r="I338" s="38" t="str">
        <x:v>https://www.youtube.com/results?search_query=%E8%B3%87%E6%96%99%E5%BE%9E%E5%93%AA%E8%A3%A1%E4%BE%86+%E9%87%8F%E6%B8%AC%E5%B0%B1%E6%98%AF%E6%8F%90%E5%95%8F+data+science+battery+energy+visualization+beginner+tutorial+Khan</x:v>
      </x:c>
      <x:c r="J338" s="38" t="str">
        <x:v>課前暖身</x:v>
      </x:c>
      <x:c r="K338" s="38" t="str">
        <x:v>5–12 分鐘</x:v>
      </x:c>
      <x:c r="L338" s="38" t="str">
        <x:v>先建立直覺；看完能說出 3 個關鍵詞</x:v>
      </x:c>
      <x:c r="M338" s="38" t="str">
        <x:v>□ 未挑選</x:v>
      </x:c>
      <x:c r="N338" s="38" t="str"/>
      <x:c r="O338" s="38" t="str"/>
    </x:row>
    <x:row r="339">
      <x:c r="A339" s="38" t="n">
        <x:v>113</x:v>
      </x:c>
      <x:c r="B339" s="38" t="str">
        <x:v>第 3 年</x:v>
      </x:c>
      <x:c r="C339" s="38" t="str">
        <x:v>M08 資料科學與電池／能源探險</x:v>
      </x:c>
      <x:c r="D339" s="38" t="n">
        <x:v>1</x:v>
      </x:c>
      <x:c r="E339" s="38" t="str">
        <x:v>資料從哪裡來：量測就是提問</x:v>
      </x:c>
      <x:c r="F339" s="38" t="n">
        <x:v>2</x:v>
      </x:c>
      <x:c r="G339" s="38" t="str">
        <x:v>跟做實作／專案導向</x:v>
      </x:c>
      <x:c r="H339" s="38" t="str">
        <x:v>資料從哪裡來 量測就是提問 理解觀測值、欄位、單位、時間戳、樣本與紀錄目的 hands on project for kids data science battery energy visualization</x:v>
      </x:c>
      <x:c r="I339" s="38" t="str">
        <x:v>https://www.youtube.com/results?search_query=%E8%B3%87%E6%96%99%E5%BE%9E%E5%93%AA%E8%A3%A1%E4%BE%86+%E9%87%8F%E6%B8%AC%E5%B0%B1%E6%98%AF%E6%8F%90%E5%95%8F+%E7%90%86%E8%A7%A3%E8%A7%80%E6%B8%AC%E5%80%BC%E3%80%81%E6%AC%84%E4%BD%8D%E3%80%81%E5%96%AE%E4%BD%8D%E3%80%81%E6%99%82%E9%96%93%E6%88%B3%E3%80%81%E6%A8%A3%E6%9C%AC%E8%88%87%E7%B4%80%E9%8C%84%E7%9B%AE%E7%9A%84+hands+on+project+for+kids+data+science+battery+energy+visualization</x:v>
      </x:c>
      <x:c r="J339" s="38" t="str">
        <x:v>課中實作參考</x:v>
      </x:c>
      <x:c r="K339" s="38" t="str">
        <x:v>8–20 分鐘</x:v>
      </x:c>
      <x:c r="L339" s="38" t="str">
        <x:v>優先找有畫面操作、步驟清楚、可暫停跟做的版本</x:v>
      </x:c>
      <x:c r="M339" s="38" t="str">
        <x:v>□ 未挑選</x:v>
      </x:c>
      <x:c r="N339" s="38" t="str"/>
      <x:c r="O339" s="38" t="str"/>
    </x:row>
    <x:row r="340">
      <x:c r="A340" s="38" t="n">
        <x:v>113</x:v>
      </x:c>
      <x:c r="B340" s="38" t="str">
        <x:v>第 3 年</x:v>
      </x:c>
      <x:c r="C340" s="38" t="str">
        <x:v>M08 資料科學與電池／能源探險</x:v>
      </x:c>
      <x:c r="D340" s="38" t="n">
        <x:v>1</x:v>
      </x:c>
      <x:c r="E340" s="38" t="str">
        <x:v>資料從哪裡來：量測就是提問</x:v>
      </x:c>
      <x:c r="F340" s="38" t="n">
        <x:v>3</x:v>
      </x:c>
      <x:c r="G340" s="38" t="str">
        <x:v>中文延伸／倫理安全</x:v>
      </x:c>
      <x:c r="H340" s="38" t="str">
        <x:v>資料從哪裡來 量測就是提問 中文 教學 原理 安全 親子 data science battery energy visualization</x:v>
      </x:c>
      <x:c r="I340" s="38" t="str">
        <x:v>https://www.youtube.com/results?search_query=%E8%B3%87%E6%96%99%E5%BE%9E%E5%93%AA%E8%A3%A1%E4%BE%86+%E9%87%8F%E6%B8%AC%E5%B0%B1%E6%98%AF%E6%8F%90%E5%95%8F+%E4%B8%AD%E6%96%87+%E6%95%99%E5%AD%B8+%E5%8E%9F%E7%90%86+%E5%AE%89%E5%85%A8+%E8%A6%AA%E5%AD%90+data+science+battery+energy+visualization</x:v>
      </x:c>
      <x:c r="J340" s="38" t="str">
        <x:v>課後延伸／親子討論</x:v>
      </x:c>
      <x:c r="K340" s="38" t="str">
        <x:v>6–15 分鐘</x:v>
      </x:c>
      <x:c r="L340" s="38" t="str">
        <x:v>補充應用、倫理、安全或真實案例；父子各說一個觀點</x:v>
      </x:c>
      <x:c r="M340" s="38" t="str">
        <x:v>□ 未挑選</x:v>
      </x:c>
      <x:c r="N340" s="38" t="str"/>
      <x:c r="O340" s="38" t="str"/>
    </x:row>
    <x:row r="341">
      <x:c r="A341" s="38" t="n">
        <x:v>114</x:v>
      </x:c>
      <x:c r="B341" s="38" t="str">
        <x:v>第 3 年</x:v>
      </x:c>
      <x:c r="C341" s="38" t="str">
        <x:v>M08 資料科學與電池／能源探險</x:v>
      </x:c>
      <x:c r="D341" s="38" t="n">
        <x:v>2</x:v>
      </x:c>
      <x:c r="E341" s="38" t="str">
        <x:v>CSV 與表格：機器喜歡整齊</x:v>
      </x:c>
      <x:c r="F341" s="38" t="n">
        <x:v>1</x:v>
      </x:c>
      <x:c r="G341" s="38" t="str">
        <x:v>概念入門／官方優先</x:v>
      </x:c>
      <x:c r="H341" s="38" t="str">
        <x:v>CSV 與表格 機器喜歡整齊 data science battery energy visualization beginner tutorial Khan</x:v>
      </x:c>
      <x:c r="I341" s="38" t="str">
        <x:v>https://www.youtube.com/results?search_query=CSV+%E8%88%87%E8%A1%A8%E6%A0%BC+%E6%A9%9F%E5%99%A8%E5%96%9C%E6%AD%A1%E6%95%B4%E9%BD%8A+data+science+battery+energy+visualization+beginner+tutorial+Khan</x:v>
      </x:c>
      <x:c r="J341" s="38" t="str">
        <x:v>課前暖身</x:v>
      </x:c>
      <x:c r="K341" s="38" t="str">
        <x:v>5–12 分鐘</x:v>
      </x:c>
      <x:c r="L341" s="38" t="str">
        <x:v>先建立直覺；看完能說出 3 個關鍵詞</x:v>
      </x:c>
      <x:c r="M341" s="38" t="str">
        <x:v>□ 未挑選</x:v>
      </x:c>
      <x:c r="N341" s="38" t="str"/>
      <x:c r="O341" s="38" t="str"/>
    </x:row>
    <x:row r="342">
      <x:c r="A342" s="38" t="n">
        <x:v>114</x:v>
      </x:c>
      <x:c r="B342" s="38" t="str">
        <x:v>第 3 年</x:v>
      </x:c>
      <x:c r="C342" s="38" t="str">
        <x:v>M08 資料科學與電池／能源探險</x:v>
      </x:c>
      <x:c r="D342" s="38" t="n">
        <x:v>2</x:v>
      </x:c>
      <x:c r="E342" s="38" t="str">
        <x:v>CSV 與表格：機器喜歡整齊</x:v>
      </x:c>
      <x:c r="F342" s="38" t="n">
        <x:v>2</x:v>
      </x:c>
      <x:c r="G342" s="38" t="str">
        <x:v>跟做實作／專案導向</x:v>
      </x:c>
      <x:c r="H342" s="38" t="str">
        <x:v>CSV 與表格 機器喜歡整齊 理解列、欄、header、缺值、編碼與資料型態 hands on project for kids data science battery energy visualization</x:v>
      </x:c>
      <x:c r="I342" s="38" t="str">
        <x:v>https://www.youtube.com/results?search_query=CSV+%E8%88%87%E8%A1%A8%E6%A0%BC+%E6%A9%9F%E5%99%A8%E5%96%9C%E6%AD%A1%E6%95%B4%E9%BD%8A+%E7%90%86%E8%A7%A3%E5%88%97%E3%80%81%E6%AC%84%E3%80%81header%E3%80%81%E7%BC%BA%E5%80%BC%E3%80%81%E7%B7%A8%E7%A2%BC%E8%88%87%E8%B3%87%E6%96%99%E5%9E%8B%E6%85%8B+hands+on+project+for+kids+data+science+battery+energy+visualization</x:v>
      </x:c>
      <x:c r="J342" s="38" t="str">
        <x:v>課中實作參考</x:v>
      </x:c>
      <x:c r="K342" s="38" t="str">
        <x:v>8–20 分鐘</x:v>
      </x:c>
      <x:c r="L342" s="38" t="str">
        <x:v>優先找有畫面操作、步驟清楚、可暫停跟做的版本</x:v>
      </x:c>
      <x:c r="M342" s="38" t="str">
        <x:v>□ 未挑選</x:v>
      </x:c>
      <x:c r="N342" s="38" t="str"/>
      <x:c r="O342" s="38" t="str"/>
    </x:row>
    <x:row r="343">
      <x:c r="A343" s="38" t="n">
        <x:v>114</x:v>
      </x:c>
      <x:c r="B343" s="38" t="str">
        <x:v>第 3 年</x:v>
      </x:c>
      <x:c r="C343" s="38" t="str">
        <x:v>M08 資料科學與電池／能源探險</x:v>
      </x:c>
      <x:c r="D343" s="38" t="n">
        <x:v>2</x:v>
      </x:c>
      <x:c r="E343" s="38" t="str">
        <x:v>CSV 與表格：機器喜歡整齊</x:v>
      </x:c>
      <x:c r="F343" s="38" t="n">
        <x:v>3</x:v>
      </x:c>
      <x:c r="G343" s="38" t="str">
        <x:v>中文延伸／倫理安全</x:v>
      </x:c>
      <x:c r="H343" s="38" t="str">
        <x:v>CSV 與表格 機器喜歡整齊 中文 教學 原理 安全 親子 data science battery energy visualization</x:v>
      </x:c>
      <x:c r="I343" s="38" t="str">
        <x:v>https://www.youtube.com/results?search_query=CSV+%E8%88%87%E8%A1%A8%E6%A0%BC+%E6%A9%9F%E5%99%A8%E5%96%9C%E6%AD%A1%E6%95%B4%E9%BD%8A+%E4%B8%AD%E6%96%87+%E6%95%99%E5%AD%B8+%E5%8E%9F%E7%90%86+%E5%AE%89%E5%85%A8+%E8%A6%AA%E5%AD%90+data+science+battery+energy+visualization</x:v>
      </x:c>
      <x:c r="J343" s="38" t="str">
        <x:v>課後延伸／親子討論</x:v>
      </x:c>
      <x:c r="K343" s="38" t="str">
        <x:v>6–15 分鐘</x:v>
      </x:c>
      <x:c r="L343" s="38" t="str">
        <x:v>補充應用、倫理、安全或真實案例；父子各說一個觀點</x:v>
      </x:c>
      <x:c r="M343" s="38" t="str">
        <x:v>□ 未挑選</x:v>
      </x:c>
      <x:c r="N343" s="38" t="str"/>
      <x:c r="O343" s="38" t="str"/>
    </x:row>
    <x:row r="344">
      <x:c r="A344" s="38" t="n">
        <x:v>115</x:v>
      </x:c>
      <x:c r="B344" s="38" t="str">
        <x:v>第 3 年</x:v>
      </x:c>
      <x:c r="C344" s="38" t="str">
        <x:v>M08 資料科學與電池／能源探險</x:v>
      </x:c>
      <x:c r="D344" s="38" t="n">
        <x:v>3</x:v>
      </x:c>
      <x:c r="E344" s="38" t="str">
        <x:v>試算表公式：讓資料自己算</x:v>
      </x:c>
      <x:c r="F344" s="38" t="n">
        <x:v>1</x:v>
      </x:c>
      <x:c r="G344" s="38" t="str">
        <x:v>概念入門／官方優先</x:v>
      </x:c>
      <x:c r="H344" s="38" t="str">
        <x:v>試算表公式 讓資料自己算 data science battery energy visualization beginner tutorial Khan</x:v>
      </x:c>
      <x:c r="I344" s="38" t="str">
        <x:v>https://www.youtube.com/results?search_query=%E8%A9%A6%E7%AE%97%E8%A1%A8%E5%85%AC%E5%BC%8F+%E8%AE%93%E8%B3%87%E6%96%99%E8%87%AA%E5%B7%B1%E7%AE%97+data+science+battery+energy+visualization+beginner+tutorial+Khan</x:v>
      </x:c>
      <x:c r="J344" s="38" t="str">
        <x:v>課前暖身</x:v>
      </x:c>
      <x:c r="K344" s="38" t="str">
        <x:v>5–12 分鐘</x:v>
      </x:c>
      <x:c r="L344" s="38" t="str">
        <x:v>先建立直覺；看完能說出 3 個關鍵詞</x:v>
      </x:c>
      <x:c r="M344" s="38" t="str">
        <x:v>□ 未挑選</x:v>
      </x:c>
      <x:c r="N344" s="38" t="str"/>
      <x:c r="O344" s="38" t="str"/>
    </x:row>
    <x:row r="345">
      <x:c r="A345" s="38" t="n">
        <x:v>115</x:v>
      </x:c>
      <x:c r="B345" s="38" t="str">
        <x:v>第 3 年</x:v>
      </x:c>
      <x:c r="C345" s="38" t="str">
        <x:v>M08 資料科學與電池／能源探險</x:v>
      </x:c>
      <x:c r="D345" s="38" t="n">
        <x:v>3</x:v>
      </x:c>
      <x:c r="E345" s="38" t="str">
        <x:v>試算表公式：讓資料自己算</x:v>
      </x:c>
      <x:c r="F345" s="38" t="n">
        <x:v>2</x:v>
      </x:c>
      <x:c r="G345" s="38" t="str">
        <x:v>跟做實作／專案導向</x:v>
      </x:c>
      <x:c r="H345" s="38" t="str">
        <x:v>試算表公式 讓資料自己算 使用加總、平均、條件與相對/絕對參照 hands on project for kids data science battery energy visualization</x:v>
      </x:c>
      <x:c r="I345" s="38" t="str">
        <x:v>https://www.youtube.com/results?search_query=%E8%A9%A6%E7%AE%97%E8%A1%A8%E5%85%AC%E5%BC%8F+%E8%AE%93%E8%B3%87%E6%96%99%E8%87%AA%E5%B7%B1%E7%AE%97+%E4%BD%BF%E7%94%A8%E5%8A%A0%E7%B8%BD%E3%80%81%E5%B9%B3%E5%9D%87%E3%80%81%E6%A2%9D%E4%BB%B6%E8%88%87%E7%9B%B8%E5%B0%8D%2F%E7%B5%95%E5%B0%8D%E5%8F%83%E7%85%A7+hands+on+project+for+kids+data+science+battery+energy+visualization</x:v>
      </x:c>
      <x:c r="J345" s="38" t="str">
        <x:v>課中實作參考</x:v>
      </x:c>
      <x:c r="K345" s="38" t="str">
        <x:v>8–20 分鐘</x:v>
      </x:c>
      <x:c r="L345" s="38" t="str">
        <x:v>優先找有畫面操作、步驟清楚、可暫停跟做的版本</x:v>
      </x:c>
      <x:c r="M345" s="38" t="str">
        <x:v>□ 未挑選</x:v>
      </x:c>
      <x:c r="N345" s="38" t="str"/>
      <x:c r="O345" s="38" t="str"/>
    </x:row>
    <x:row r="346">
      <x:c r="A346" s="38" t="n">
        <x:v>115</x:v>
      </x:c>
      <x:c r="B346" s="38" t="str">
        <x:v>第 3 年</x:v>
      </x:c>
      <x:c r="C346" s="38" t="str">
        <x:v>M08 資料科學與電池／能源探險</x:v>
      </x:c>
      <x:c r="D346" s="38" t="n">
        <x:v>3</x:v>
      </x:c>
      <x:c r="E346" s="38" t="str">
        <x:v>試算表公式：讓資料自己算</x:v>
      </x:c>
      <x:c r="F346" s="38" t="n">
        <x:v>3</x:v>
      </x:c>
      <x:c r="G346" s="38" t="str">
        <x:v>中文延伸／倫理安全</x:v>
      </x:c>
      <x:c r="H346" s="38" t="str">
        <x:v>試算表公式 讓資料自己算 中文 教學 原理 安全 親子 data science battery energy visualization</x:v>
      </x:c>
      <x:c r="I346" s="38" t="str">
        <x:v>https://www.youtube.com/results?search_query=%E8%A9%A6%E7%AE%97%E8%A1%A8%E5%85%AC%E5%BC%8F+%E8%AE%93%E8%B3%87%E6%96%99%E8%87%AA%E5%B7%B1%E7%AE%97+%E4%B8%AD%E6%96%87+%E6%95%99%E5%AD%B8+%E5%8E%9F%E7%90%86+%E5%AE%89%E5%85%A8+%E8%A6%AA%E5%AD%90+data+science+battery+energy+visualization</x:v>
      </x:c>
      <x:c r="J346" s="38" t="str">
        <x:v>課後延伸／親子討論</x:v>
      </x:c>
      <x:c r="K346" s="38" t="str">
        <x:v>6–15 分鐘</x:v>
      </x:c>
      <x:c r="L346" s="38" t="str">
        <x:v>補充應用、倫理、安全或真實案例；父子各說一個觀點</x:v>
      </x:c>
      <x:c r="M346" s="38" t="str">
        <x:v>□ 未挑選</x:v>
      </x:c>
      <x:c r="N346" s="38" t="str"/>
      <x:c r="O346" s="38" t="str"/>
    </x:row>
    <x:row r="347">
      <x:c r="A347" s="38" t="n">
        <x:v>116</x:v>
      </x:c>
      <x:c r="B347" s="38" t="str">
        <x:v>第 3 年</x:v>
      </x:c>
      <x:c r="C347" s="38" t="str">
        <x:v>M08 資料科學與電池／能源探險</x:v>
      </x:c>
      <x:c r="D347" s="38" t="n">
        <x:v>4</x:v>
      </x:c>
      <x:c r="E347" s="38" t="str">
        <x:v>平均數不是唯一答案</x:v>
      </x:c>
      <x:c r="F347" s="38" t="n">
        <x:v>1</x:v>
      </x:c>
      <x:c r="G347" s="38" t="str">
        <x:v>概念入門／官方優先</x:v>
      </x:c>
      <x:c r="H347" s="38" t="str">
        <x:v>平均數不是唯一答案 data science battery energy visualization beginner tutorial Khan</x:v>
      </x:c>
      <x:c r="I347" s="38" t="str">
        <x:v>https://www.youtube.com/results?search_query=%E5%B9%B3%E5%9D%87%E6%95%B8%E4%B8%8D%E6%98%AF%E5%94%AF%E4%B8%80%E7%AD%94%E6%A1%88+data+science+battery+energy+visualization+beginner+tutorial+Khan</x:v>
      </x:c>
      <x:c r="J347" s="38" t="str">
        <x:v>課前暖身</x:v>
      </x:c>
      <x:c r="K347" s="38" t="str">
        <x:v>5–12 分鐘</x:v>
      </x:c>
      <x:c r="L347" s="38" t="str">
        <x:v>先建立直覺；看完能說出 3 個關鍵詞</x:v>
      </x:c>
      <x:c r="M347" s="38" t="str">
        <x:v>□ 未挑選</x:v>
      </x:c>
      <x:c r="N347" s="38" t="str"/>
      <x:c r="O347" s="38" t="str"/>
    </x:row>
    <x:row r="348">
      <x:c r="A348" s="38" t="n">
        <x:v>116</x:v>
      </x:c>
      <x:c r="B348" s="38" t="str">
        <x:v>第 3 年</x:v>
      </x:c>
      <x:c r="C348" s="38" t="str">
        <x:v>M08 資料科學與電池／能源探險</x:v>
      </x:c>
      <x:c r="D348" s="38" t="n">
        <x:v>4</x:v>
      </x:c>
      <x:c r="E348" s="38" t="str">
        <x:v>平均數不是唯一答案</x:v>
      </x:c>
      <x:c r="F348" s="38" t="n">
        <x:v>2</x:v>
      </x:c>
      <x:c r="G348" s="38" t="str">
        <x:v>跟做實作／專案導向</x:v>
      </x:c>
      <x:c r="H348" s="38" t="str">
        <x:v>平均數不是唯一答案 理解 mean、median、min、max、range 與離群值 hands on project for kids data science battery energy visualization</x:v>
      </x:c>
      <x:c r="I348" s="38" t="str">
        <x:v>https://www.youtube.com/results?search_query=%E5%B9%B3%E5%9D%87%E6%95%B8%E4%B8%8D%E6%98%AF%E5%94%AF%E4%B8%80%E7%AD%94%E6%A1%88+%E7%90%86%E8%A7%A3+mean%E3%80%81median%E3%80%81min%E3%80%81max%E3%80%81range+%E8%88%87%E9%9B%A2%E7%BE%A4%E5%80%BC+hands+on+project+for+kids+data+science+battery+energy+visualization</x:v>
      </x:c>
      <x:c r="J348" s="38" t="str">
        <x:v>課中實作參考</x:v>
      </x:c>
      <x:c r="K348" s="38" t="str">
        <x:v>8–20 分鐘</x:v>
      </x:c>
      <x:c r="L348" s="38" t="str">
        <x:v>優先找有畫面操作、步驟清楚、可暫停跟做的版本</x:v>
      </x:c>
      <x:c r="M348" s="38" t="str">
        <x:v>□ 未挑選</x:v>
      </x:c>
      <x:c r="N348" s="38" t="str"/>
      <x:c r="O348" s="38" t="str"/>
    </x:row>
    <x:row r="349">
      <x:c r="A349" s="38" t="n">
        <x:v>116</x:v>
      </x:c>
      <x:c r="B349" s="38" t="str">
        <x:v>第 3 年</x:v>
      </x:c>
      <x:c r="C349" s="38" t="str">
        <x:v>M08 資料科學與電池／能源探險</x:v>
      </x:c>
      <x:c r="D349" s="38" t="n">
        <x:v>4</x:v>
      </x:c>
      <x:c r="E349" s="38" t="str">
        <x:v>平均數不是唯一答案</x:v>
      </x:c>
      <x:c r="F349" s="38" t="n">
        <x:v>3</x:v>
      </x:c>
      <x:c r="G349" s="38" t="str">
        <x:v>中文延伸／倫理安全</x:v>
      </x:c>
      <x:c r="H349" s="38" t="str">
        <x:v>平均數不是唯一答案 中文 教學 原理 安全 親子 data science battery energy visualization</x:v>
      </x:c>
      <x:c r="I349" s="38" t="str">
        <x:v>https://www.youtube.com/results?search_query=%E5%B9%B3%E5%9D%87%E6%95%B8%E4%B8%8D%E6%98%AF%E5%94%AF%E4%B8%80%E7%AD%94%E6%A1%88+%E4%B8%AD%E6%96%87+%E6%95%99%E5%AD%B8+%E5%8E%9F%E7%90%86+%E5%AE%89%E5%85%A8+%E8%A6%AA%E5%AD%90+data+science+battery+energy+visualization</x:v>
      </x:c>
      <x:c r="J349" s="38" t="str">
        <x:v>課後延伸／親子討論</x:v>
      </x:c>
      <x:c r="K349" s="38" t="str">
        <x:v>6–15 分鐘</x:v>
      </x:c>
      <x:c r="L349" s="38" t="str">
        <x:v>補充應用、倫理、安全或真實案例；父子各說一個觀點</x:v>
      </x:c>
      <x:c r="M349" s="38" t="str">
        <x:v>□ 未挑選</x:v>
      </x:c>
      <x:c r="N349" s="38" t="str"/>
      <x:c r="O349" s="38" t="str"/>
    </x:row>
    <x:row r="350">
      <x:c r="A350" s="38" t="n">
        <x:v>117</x:v>
      </x:c>
      <x:c r="B350" s="38" t="str">
        <x:v>第 3 年</x:v>
      </x:c>
      <x:c r="C350" s="38" t="str">
        <x:v>M08 資料科學與電池／能源探險</x:v>
      </x:c>
      <x:c r="D350" s="38" t="n">
        <x:v>5</x:v>
      </x:c>
      <x:c r="E350" s="38" t="str">
        <x:v>圖表會說話，也會騙人</x:v>
      </x:c>
      <x:c r="F350" s="38" t="n">
        <x:v>1</x:v>
      </x:c>
      <x:c r="G350" s="38" t="str">
        <x:v>概念入門／官方優先</x:v>
      </x:c>
      <x:c r="H350" s="38" t="str">
        <x:v>圖表會說話，也會騙人 data science battery energy visualization beginner tutorial Khan</x:v>
      </x:c>
      <x:c r="I350" s="38" t="str">
        <x:v>https://www.youtube.com/results?search_query=%E5%9C%96%E8%A1%A8%E6%9C%83%E8%AA%AA%E8%A9%B1%EF%BC%8C%E4%B9%9F%E6%9C%83%E9%A8%99%E4%BA%BA+data+science+battery+energy+visualization+beginner+tutorial+Khan</x:v>
      </x:c>
      <x:c r="J350" s="38" t="str">
        <x:v>課前暖身</x:v>
      </x:c>
      <x:c r="K350" s="38" t="str">
        <x:v>5–12 分鐘</x:v>
      </x:c>
      <x:c r="L350" s="38" t="str">
        <x:v>先建立直覺；看完能說出 3 個關鍵詞</x:v>
      </x:c>
      <x:c r="M350" s="38" t="str">
        <x:v>□ 未挑選</x:v>
      </x:c>
      <x:c r="N350" s="38" t="str"/>
      <x:c r="O350" s="38" t="str"/>
    </x:row>
    <x:row r="351">
      <x:c r="A351" s="38" t="n">
        <x:v>117</x:v>
      </x:c>
      <x:c r="B351" s="38" t="str">
        <x:v>第 3 年</x:v>
      </x:c>
      <x:c r="C351" s="38" t="str">
        <x:v>M08 資料科學與電池／能源探險</x:v>
      </x:c>
      <x:c r="D351" s="38" t="n">
        <x:v>5</x:v>
      </x:c>
      <x:c r="E351" s="38" t="str">
        <x:v>圖表會說話，也會騙人</x:v>
      </x:c>
      <x:c r="F351" s="38" t="n">
        <x:v>2</x:v>
      </x:c>
      <x:c r="G351" s="38" t="str">
        <x:v>跟做實作／專案導向</x:v>
      </x:c>
      <x:c r="H351" s="38" t="str">
        <x:v>圖表會說話，也會騙人 選擇折線、長條、散點圖並辨識截斷座標與誤導 hands on project for kids data science battery energy visualization</x:v>
      </x:c>
      <x:c r="I351" s="38" t="str">
        <x:v>https://www.youtube.com/results?search_query=%E5%9C%96%E8%A1%A8%E6%9C%83%E8%AA%AA%E8%A9%B1%EF%BC%8C%E4%B9%9F%E6%9C%83%E9%A8%99%E4%BA%BA+%E9%81%B8%E6%93%87%E6%8A%98%E7%B7%9A%E3%80%81%E9%95%B7%E6%A2%9D%E3%80%81%E6%95%A3%E9%BB%9E%E5%9C%96%E4%B8%A6%E8%BE%A8%E8%AD%98%E6%88%AA%E6%96%B7%E5%BA%A7%E6%A8%99%E8%88%87%E8%AA%A4%E5%B0%8E+hands+on+project+for+kids+data+science+battery+energy+visualization</x:v>
      </x:c>
      <x:c r="J351" s="38" t="str">
        <x:v>課中實作參考</x:v>
      </x:c>
      <x:c r="K351" s="38" t="str">
        <x:v>8–20 分鐘</x:v>
      </x:c>
      <x:c r="L351" s="38" t="str">
        <x:v>優先找有畫面操作、步驟清楚、可暫停跟做的版本</x:v>
      </x:c>
      <x:c r="M351" s="38" t="str">
        <x:v>□ 未挑選</x:v>
      </x:c>
      <x:c r="N351" s="38" t="str"/>
      <x:c r="O351" s="38" t="str"/>
    </x:row>
    <x:row r="352">
      <x:c r="A352" s="38" t="n">
        <x:v>117</x:v>
      </x:c>
      <x:c r="B352" s="38" t="str">
        <x:v>第 3 年</x:v>
      </x:c>
      <x:c r="C352" s="38" t="str">
        <x:v>M08 資料科學與電池／能源探險</x:v>
      </x:c>
      <x:c r="D352" s="38" t="n">
        <x:v>5</x:v>
      </x:c>
      <x:c r="E352" s="38" t="str">
        <x:v>圖表會說話，也會騙人</x:v>
      </x:c>
      <x:c r="F352" s="38" t="n">
        <x:v>3</x:v>
      </x:c>
      <x:c r="G352" s="38" t="str">
        <x:v>中文延伸／倫理安全</x:v>
      </x:c>
      <x:c r="H352" s="38" t="str">
        <x:v>圖表會說話，也會騙人 中文 教學 原理 安全 親子 data science battery energy visualization</x:v>
      </x:c>
      <x:c r="I352" s="38" t="str">
        <x:v>https://www.youtube.com/results?search_query=%E5%9C%96%E8%A1%A8%E6%9C%83%E8%AA%AA%E8%A9%B1%EF%BC%8C%E4%B9%9F%E6%9C%83%E9%A8%99%E4%BA%BA+%E4%B8%AD%E6%96%87+%E6%95%99%E5%AD%B8+%E5%8E%9F%E7%90%86+%E5%AE%89%E5%85%A8+%E8%A6%AA%E5%AD%90+data+science+battery+energy+visualization</x:v>
      </x:c>
      <x:c r="J352" s="38" t="str">
        <x:v>課後延伸／親子討論</x:v>
      </x:c>
      <x:c r="K352" s="38" t="str">
        <x:v>6–15 分鐘</x:v>
      </x:c>
      <x:c r="L352" s="38" t="str">
        <x:v>補充應用、倫理、安全或真實案例；父子各說一個觀點</x:v>
      </x:c>
      <x:c r="M352" s="38" t="str">
        <x:v>□ 未挑選</x:v>
      </x:c>
      <x:c r="N352" s="38" t="str"/>
      <x:c r="O352" s="38" t="str"/>
    </x:row>
    <x:row r="353">
      <x:c r="A353" s="38" t="n">
        <x:v>118</x:v>
      </x:c>
      <x:c r="B353" s="38" t="str">
        <x:v>第 3 年</x:v>
      </x:c>
      <x:c r="C353" s="38" t="str">
        <x:v>M08 資料科學與電池／能源探險</x:v>
      </x:c>
      <x:c r="D353" s="38" t="n">
        <x:v>6</x:v>
      </x:c>
      <x:c r="E353" s="38" t="str">
        <x:v>相關不等於因果</x:v>
      </x:c>
      <x:c r="F353" s="38" t="n">
        <x:v>1</x:v>
      </x:c>
      <x:c r="G353" s="38" t="str">
        <x:v>概念入門／官方優先</x:v>
      </x:c>
      <x:c r="H353" s="38" t="str">
        <x:v>相關不等於因果 data science battery energy visualization beginner tutorial Khan</x:v>
      </x:c>
      <x:c r="I353" s="38" t="str">
        <x:v>https://www.youtube.com/results?search_query=%E7%9B%B8%E9%97%9C%E4%B8%8D%E7%AD%89%E6%96%BC%E5%9B%A0%E6%9E%9C+data+science+battery+energy+visualization+beginner+tutorial+Khan</x:v>
      </x:c>
      <x:c r="J353" s="38" t="str">
        <x:v>課前暖身</x:v>
      </x:c>
      <x:c r="K353" s="38" t="str">
        <x:v>5–12 分鐘</x:v>
      </x:c>
      <x:c r="L353" s="38" t="str">
        <x:v>先建立直覺；看完能說出 3 個關鍵詞</x:v>
      </x:c>
      <x:c r="M353" s="38" t="str">
        <x:v>□ 未挑選</x:v>
      </x:c>
      <x:c r="N353" s="38" t="str"/>
      <x:c r="O353" s="38" t="str"/>
    </x:row>
    <x:row r="354">
      <x:c r="A354" s="38" t="n">
        <x:v>118</x:v>
      </x:c>
      <x:c r="B354" s="38" t="str">
        <x:v>第 3 年</x:v>
      </x:c>
      <x:c r="C354" s="38" t="str">
        <x:v>M08 資料科學與電池／能源探險</x:v>
      </x:c>
      <x:c r="D354" s="38" t="n">
        <x:v>6</x:v>
      </x:c>
      <x:c r="E354" s="38" t="str">
        <x:v>相關不等於因果</x:v>
      </x:c>
      <x:c r="F354" s="38" t="n">
        <x:v>2</x:v>
      </x:c>
      <x:c r="G354" s="38" t="str">
        <x:v>跟做實作／專案導向</x:v>
      </x:c>
      <x:c r="H354" s="38" t="str">
        <x:v>相關不等於因果 理解共同原因、巧合、反向因果與實驗設計 hands on project for kids data science battery energy visualization</x:v>
      </x:c>
      <x:c r="I354" s="38" t="str">
        <x:v>https://www.youtube.com/results?search_query=%E7%9B%B8%E9%97%9C%E4%B8%8D%E7%AD%89%E6%96%BC%E5%9B%A0%E6%9E%9C+%E7%90%86%E8%A7%A3%E5%85%B1%E5%90%8C%E5%8E%9F%E5%9B%A0%E3%80%81%E5%B7%A7%E5%90%88%E3%80%81%E5%8F%8D%E5%90%91%E5%9B%A0%E6%9E%9C%E8%88%87%E5%AF%A6%E9%A9%97%E8%A8%AD%E8%A8%88+hands+on+project+for+kids+data+science+battery+energy+visualization</x:v>
      </x:c>
      <x:c r="J354" s="38" t="str">
        <x:v>課中實作參考</x:v>
      </x:c>
      <x:c r="K354" s="38" t="str">
        <x:v>8–20 分鐘</x:v>
      </x:c>
      <x:c r="L354" s="38" t="str">
        <x:v>優先找有畫面操作、步驟清楚、可暫停跟做的版本</x:v>
      </x:c>
      <x:c r="M354" s="38" t="str">
        <x:v>□ 未挑選</x:v>
      </x:c>
      <x:c r="N354" s="38" t="str"/>
      <x:c r="O354" s="38" t="str"/>
    </x:row>
    <x:row r="355">
      <x:c r="A355" s="38" t="n">
        <x:v>118</x:v>
      </x:c>
      <x:c r="B355" s="38" t="str">
        <x:v>第 3 年</x:v>
      </x:c>
      <x:c r="C355" s="38" t="str">
        <x:v>M08 資料科學與電池／能源探險</x:v>
      </x:c>
      <x:c r="D355" s="38" t="n">
        <x:v>6</x:v>
      </x:c>
      <x:c r="E355" s="38" t="str">
        <x:v>相關不等於因果</x:v>
      </x:c>
      <x:c r="F355" s="38" t="n">
        <x:v>3</x:v>
      </x:c>
      <x:c r="G355" s="38" t="str">
        <x:v>中文延伸／倫理安全</x:v>
      </x:c>
      <x:c r="H355" s="38" t="str">
        <x:v>相關不等於因果 中文 教學 原理 安全 親子 data science battery energy visualization</x:v>
      </x:c>
      <x:c r="I355" s="38" t="str">
        <x:v>https://www.youtube.com/results?search_query=%E7%9B%B8%E9%97%9C%E4%B8%8D%E7%AD%89%E6%96%BC%E5%9B%A0%E6%9E%9C+%E4%B8%AD%E6%96%87+%E6%95%99%E5%AD%B8+%E5%8E%9F%E7%90%86+%E5%AE%89%E5%85%A8+%E8%A6%AA%E5%AD%90+data+science+battery+energy+visualization</x:v>
      </x:c>
      <x:c r="J355" s="38" t="str">
        <x:v>課後延伸／親子討論</x:v>
      </x:c>
      <x:c r="K355" s="38" t="str">
        <x:v>6–15 分鐘</x:v>
      </x:c>
      <x:c r="L355" s="38" t="str">
        <x:v>補充應用、倫理、安全或真實案例；父子各說一個觀點</x:v>
      </x:c>
      <x:c r="M355" s="38" t="str">
        <x:v>□ 未挑選</x:v>
      </x:c>
      <x:c r="N355" s="38" t="str"/>
      <x:c r="O355" s="38" t="str"/>
    </x:row>
    <x:row r="356">
      <x:c r="A356" s="38" t="n">
        <x:v>119</x:v>
      </x:c>
      <x:c r="B356" s="38" t="str">
        <x:v>第 3 年</x:v>
      </x:c>
      <x:c r="C356" s="38" t="str">
        <x:v>M08 資料科學與電池／能源探險</x:v>
      </x:c>
      <x:c r="D356" s="38" t="n">
        <x:v>7</x:v>
      </x:c>
      <x:c r="E356" s="38" t="str">
        <x:v>感測雜訊與移動平均</x:v>
      </x:c>
      <x:c r="F356" s="38" t="n">
        <x:v>1</x:v>
      </x:c>
      <x:c r="G356" s="38" t="str">
        <x:v>概念入門／官方優先</x:v>
      </x:c>
      <x:c r="H356" s="38" t="str">
        <x:v>感測雜訊與移動平均 data science battery energy visualization beginner tutorial Khan</x:v>
      </x:c>
      <x:c r="I356" s="38" t="str">
        <x:v>https://www.youtube.com/results?search_query=%E6%84%9F%E6%B8%AC%E9%9B%9C%E8%A8%8A%E8%88%87%E7%A7%BB%E5%8B%95%E5%B9%B3%E5%9D%87+data+science+battery+energy+visualization+beginner+tutorial+Khan</x:v>
      </x:c>
      <x:c r="J356" s="38" t="str">
        <x:v>課前暖身</x:v>
      </x:c>
      <x:c r="K356" s="38" t="str">
        <x:v>5–12 分鐘</x:v>
      </x:c>
      <x:c r="L356" s="38" t="str">
        <x:v>先建立直覺；看完能說出 3 個關鍵詞</x:v>
      </x:c>
      <x:c r="M356" s="38" t="str">
        <x:v>□ 未挑選</x:v>
      </x:c>
      <x:c r="N356" s="38" t="str"/>
      <x:c r="O356" s="38" t="str"/>
    </x:row>
    <x:row r="357">
      <x:c r="A357" s="38" t="n">
        <x:v>119</x:v>
      </x:c>
      <x:c r="B357" s="38" t="str">
        <x:v>第 3 年</x:v>
      </x:c>
      <x:c r="C357" s="38" t="str">
        <x:v>M08 資料科學與電池／能源探險</x:v>
      </x:c>
      <x:c r="D357" s="38" t="n">
        <x:v>7</x:v>
      </x:c>
      <x:c r="E357" s="38" t="str">
        <x:v>感測雜訊與移動平均</x:v>
      </x:c>
      <x:c r="F357" s="38" t="n">
        <x:v>2</x:v>
      </x:c>
      <x:c r="G357" s="38" t="str">
        <x:v>跟做實作／專案導向</x:v>
      </x:c>
      <x:c r="H357" s="38" t="str">
        <x:v>感測雜訊與移動平均 理解雜訊、平滑、反應速度與資訊損失 hands on project for kids data science battery energy visualization</x:v>
      </x:c>
      <x:c r="I357" s="38" t="str">
        <x:v>https://www.youtube.com/results?search_query=%E6%84%9F%E6%B8%AC%E9%9B%9C%E8%A8%8A%E8%88%87%E7%A7%BB%E5%8B%95%E5%B9%B3%E5%9D%87+%E7%90%86%E8%A7%A3%E9%9B%9C%E8%A8%8A%E3%80%81%E5%B9%B3%E6%BB%91%E3%80%81%E5%8F%8D%E6%87%89%E9%80%9F%E5%BA%A6%E8%88%87%E8%B3%87%E8%A8%8A%E6%90%8D%E5%A4%B1+hands+on+project+for+kids+data+science+battery+energy+visualization</x:v>
      </x:c>
      <x:c r="J357" s="38" t="str">
        <x:v>課中實作參考</x:v>
      </x:c>
      <x:c r="K357" s="38" t="str">
        <x:v>8–20 分鐘</x:v>
      </x:c>
      <x:c r="L357" s="38" t="str">
        <x:v>優先找有畫面操作、步驟清楚、可暫停跟做的版本</x:v>
      </x:c>
      <x:c r="M357" s="38" t="str">
        <x:v>□ 未挑選</x:v>
      </x:c>
      <x:c r="N357" s="38" t="str"/>
      <x:c r="O357" s="38" t="str"/>
    </x:row>
    <x:row r="358">
      <x:c r="A358" s="38" t="n">
        <x:v>119</x:v>
      </x:c>
      <x:c r="B358" s="38" t="str">
        <x:v>第 3 年</x:v>
      </x:c>
      <x:c r="C358" s="38" t="str">
        <x:v>M08 資料科學與電池／能源探險</x:v>
      </x:c>
      <x:c r="D358" s="38" t="n">
        <x:v>7</x:v>
      </x:c>
      <x:c r="E358" s="38" t="str">
        <x:v>感測雜訊與移動平均</x:v>
      </x:c>
      <x:c r="F358" s="38" t="n">
        <x:v>3</x:v>
      </x:c>
      <x:c r="G358" s="38" t="str">
        <x:v>中文延伸／倫理安全</x:v>
      </x:c>
      <x:c r="H358" s="38" t="str">
        <x:v>感測雜訊與移動平均 中文 教學 原理 安全 親子 data science battery energy visualization</x:v>
      </x:c>
      <x:c r="I358" s="38" t="str">
        <x:v>https://www.youtube.com/results?search_query=%E6%84%9F%E6%B8%AC%E9%9B%9C%E8%A8%8A%E8%88%87%E7%A7%BB%E5%8B%95%E5%B9%B3%E5%9D%87+%E4%B8%AD%E6%96%87+%E6%95%99%E5%AD%B8+%E5%8E%9F%E7%90%86+%E5%AE%89%E5%85%A8+%E8%A6%AA%E5%AD%90+data+science+battery+energy+visualization</x:v>
      </x:c>
      <x:c r="J358" s="38" t="str">
        <x:v>課後延伸／親子討論</x:v>
      </x:c>
      <x:c r="K358" s="38" t="str">
        <x:v>6–15 分鐘</x:v>
      </x:c>
      <x:c r="L358" s="38" t="str">
        <x:v>補充應用、倫理、安全或真實案例；父子各說一個觀點</x:v>
      </x:c>
      <x:c r="M358" s="38" t="str">
        <x:v>□ 未挑選</x:v>
      </x:c>
      <x:c r="N358" s="38" t="str"/>
      <x:c r="O358" s="38" t="str"/>
    </x:row>
    <x:row r="359">
      <x:c r="A359" s="38" t="n">
        <x:v>120</x:v>
      </x:c>
      <x:c r="B359" s="38" t="str">
        <x:v>第 3 年</x:v>
      </x:c>
      <x:c r="C359" s="38" t="str">
        <x:v>M08 資料科學與電池／能源探險</x:v>
      </x:c>
      <x:c r="D359" s="38" t="n">
        <x:v>8</x:v>
      </x:c>
      <x:c r="E359" s="38" t="str">
        <x:v>電池的三個基本訊號：V、I、T</x:v>
      </x:c>
      <x:c r="F359" s="38" t="n">
        <x:v>1</x:v>
      </x:c>
      <x:c r="G359" s="38" t="str">
        <x:v>概念入門／官方優先</x:v>
      </x:c>
      <x:c r="H359" s="38" t="str">
        <x:v>電池的三個基本訊號 V、I、T data science battery energy visualization beginner tutorial Khan</x:v>
      </x:c>
      <x:c r="I359" s="38" t="str">
        <x:v>https://www.youtube.com/results?search_query=%E9%9B%BB%E6%B1%A0%E7%9A%84%E4%B8%89%E5%80%8B%E5%9F%BA%E6%9C%AC%E8%A8%8A%E8%99%9F+V%E3%80%81I%E3%80%81T+data+science+battery+energy+visualization+beginner+tutorial+Khan</x:v>
      </x:c>
      <x:c r="J359" s="38" t="str">
        <x:v>課前暖身</x:v>
      </x:c>
      <x:c r="K359" s="38" t="str">
        <x:v>5–12 分鐘</x:v>
      </x:c>
      <x:c r="L359" s="38" t="str">
        <x:v>先建立直覺；看完能說出 3 個關鍵詞</x:v>
      </x:c>
      <x:c r="M359" s="38" t="str">
        <x:v>□ 未挑選</x:v>
      </x:c>
      <x:c r="N359" s="38" t="str"/>
      <x:c r="O359" s="38" t="str"/>
    </x:row>
    <x:row r="360">
      <x:c r="A360" s="38" t="n">
        <x:v>120</x:v>
      </x:c>
      <x:c r="B360" s="38" t="str">
        <x:v>第 3 年</x:v>
      </x:c>
      <x:c r="C360" s="38" t="str">
        <x:v>M08 資料科學與電池／能源探險</x:v>
      </x:c>
      <x:c r="D360" s="38" t="n">
        <x:v>8</x:v>
      </x:c>
      <x:c r="E360" s="38" t="str">
        <x:v>電池的三個基本訊號：V、I、T</x:v>
      </x:c>
      <x:c r="F360" s="38" t="n">
        <x:v>2</x:v>
      </x:c>
      <x:c r="G360" s="38" t="str">
        <x:v>跟做實作／專案導向</x:v>
      </x:c>
      <x:c r="H360" s="38" t="str">
        <x:v>電池的三個基本訊號 V、I、T 理解電壓、電流、溫度與時間序列的工程意義 hands on project for kids data science battery energy visualization</x:v>
      </x:c>
      <x:c r="I360" s="38" t="str">
        <x:v>https://www.youtube.com/results?search_query=%E9%9B%BB%E6%B1%A0%E7%9A%84%E4%B8%89%E5%80%8B%E5%9F%BA%E6%9C%AC%E8%A8%8A%E8%99%9F+V%E3%80%81I%E3%80%81T+%E7%90%86%E8%A7%A3%E9%9B%BB%E5%A3%93%E3%80%81%E9%9B%BB%E6%B5%81%E3%80%81%E6%BA%AB%E5%BA%A6%E8%88%87%E6%99%82%E9%96%93%E5%BA%8F%E5%88%97%E7%9A%84%E5%B7%A5%E7%A8%8B%E6%84%8F%E7%BE%A9+hands+on+project+for+kids+data+science+battery+energy+visualization</x:v>
      </x:c>
      <x:c r="J360" s="38" t="str">
        <x:v>課中實作參考</x:v>
      </x:c>
      <x:c r="K360" s="38" t="str">
        <x:v>8–20 分鐘</x:v>
      </x:c>
      <x:c r="L360" s="38" t="str">
        <x:v>優先找有畫面操作、步驟清楚、可暫停跟做的版本</x:v>
      </x:c>
      <x:c r="M360" s="38" t="str">
        <x:v>□ 未挑選</x:v>
      </x:c>
      <x:c r="N360" s="38" t="str"/>
      <x:c r="O360" s="38" t="str"/>
    </x:row>
    <x:row r="361">
      <x:c r="A361" s="38" t="n">
        <x:v>120</x:v>
      </x:c>
      <x:c r="B361" s="38" t="str">
        <x:v>第 3 年</x:v>
      </x:c>
      <x:c r="C361" s="38" t="str">
        <x:v>M08 資料科學與電池／能源探險</x:v>
      </x:c>
      <x:c r="D361" s="38" t="n">
        <x:v>8</x:v>
      </x:c>
      <x:c r="E361" s="38" t="str">
        <x:v>電池的三個基本訊號：V、I、T</x:v>
      </x:c>
      <x:c r="F361" s="38" t="n">
        <x:v>3</x:v>
      </x:c>
      <x:c r="G361" s="38" t="str">
        <x:v>中文延伸／倫理安全</x:v>
      </x:c>
      <x:c r="H361" s="38" t="str">
        <x:v>電池的三個基本訊號 V、I、T 中文 教學 原理 安全 親子 data science battery energy visualization</x:v>
      </x:c>
      <x:c r="I361" s="38" t="str">
        <x:v>https://www.youtube.com/results?search_query=%E9%9B%BB%E6%B1%A0%E7%9A%84%E4%B8%89%E5%80%8B%E5%9F%BA%E6%9C%AC%E8%A8%8A%E8%99%9F+V%E3%80%81I%E3%80%81T+%E4%B8%AD%E6%96%87+%E6%95%99%E5%AD%B8+%E5%8E%9F%E7%90%86+%E5%AE%89%E5%85%A8+%E8%A6%AA%E5%AD%90+data+science+battery+energy+visualization</x:v>
      </x:c>
      <x:c r="J361" s="38" t="str">
        <x:v>課後延伸／親子討論</x:v>
      </x:c>
      <x:c r="K361" s="38" t="str">
        <x:v>6–15 分鐘</x:v>
      </x:c>
      <x:c r="L361" s="38" t="str">
        <x:v>補充應用、倫理、安全或真實案例；父子各說一個觀點</x:v>
      </x:c>
      <x:c r="M361" s="38" t="str">
        <x:v>□ 未挑選</x:v>
      </x:c>
      <x:c r="N361" s="38" t="str"/>
      <x:c r="O361" s="38" t="str"/>
    </x:row>
    <x:row r="362">
      <x:c r="A362" s="38" t="n">
        <x:v>121</x:v>
      </x:c>
      <x:c r="B362" s="38" t="str">
        <x:v>第 3 年</x:v>
      </x:c>
      <x:c r="C362" s="38" t="str">
        <x:v>M08 資料科學與電池／能源探險</x:v>
      </x:c>
      <x:c r="D362" s="38" t="n">
        <x:v>9</x:v>
      </x:c>
      <x:c r="E362" s="38" t="str">
        <x:v>SOC：還剩多少能量</x:v>
      </x:c>
      <x:c r="F362" s="38" t="n">
        <x:v>1</x:v>
      </x:c>
      <x:c r="G362" s="38" t="str">
        <x:v>概念入門／官方優先</x:v>
      </x:c>
      <x:c r="H362" s="38" t="str">
        <x:v>SOC 還剩多少能量 data science battery energy visualization beginner tutorial Khan</x:v>
      </x:c>
      <x:c r="I362" s="38" t="str">
        <x:v>https://www.youtube.com/results?search_query=SOC+%E9%82%84%E5%89%A9%E5%A4%9A%E5%B0%91%E8%83%BD%E9%87%8F+data+science+battery+energy+visualization+beginner+tutorial+Khan</x:v>
      </x:c>
      <x:c r="J362" s="38" t="str">
        <x:v>課前暖身</x:v>
      </x:c>
      <x:c r="K362" s="38" t="str">
        <x:v>5–12 分鐘</x:v>
      </x:c>
      <x:c r="L362" s="38" t="str">
        <x:v>先建立直覺；看完能說出 3 個關鍵詞</x:v>
      </x:c>
      <x:c r="M362" s="38" t="str">
        <x:v>□ 未挑選</x:v>
      </x:c>
      <x:c r="N362" s="38" t="str"/>
      <x:c r="O362" s="38" t="str"/>
    </x:row>
    <x:row r="363">
      <x:c r="A363" s="38" t="n">
        <x:v>121</x:v>
      </x:c>
      <x:c r="B363" s="38" t="str">
        <x:v>第 3 年</x:v>
      </x:c>
      <x:c r="C363" s="38" t="str">
        <x:v>M08 資料科學與電池／能源探險</x:v>
      </x:c>
      <x:c r="D363" s="38" t="n">
        <x:v>9</x:v>
      </x:c>
      <x:c r="E363" s="38" t="str">
        <x:v>SOC：還剩多少能量</x:v>
      </x:c>
      <x:c r="F363" s="38" t="n">
        <x:v>2</x:v>
      </x:c>
      <x:c r="G363" s="38" t="str">
        <x:v>跟做實作／專案導向</x:v>
      </x:c>
      <x:c r="H363" s="38" t="str">
        <x:v>SOC 還剩多少能量 理解 SOC 是估計值、庫侖計數與初始誤差直覺 hands on project for kids data science battery energy</x:v>
      </x:c>
      <x:c r="I363" s="38" t="str">
        <x:v>https://www.youtube.com/results?search_query=SOC+%E9%82%84%E5%89%A9%E5%A4%9A%E5%B0%91%E8%83%BD%E9%87%8F+%E7%90%86%E8%A7%A3+SOC+%E6%98%AF%E4%BC%B0%E8%A8%88%E5%80%BC%E3%80%81%E5%BA%AB%E4%BE%96%E8%A8%88%E6%95%B8%E8%88%87%E5%88%9D%E5%A7%8B%E8%AA%A4%E5%B7%AE%E7%9B%B4%E8%A6%BA+hands+on+project+for+kids+data+science+battery+energy+visualization</x:v>
      </x:c>
      <x:c r="J363" s="38" t="str">
        <x:v>課中實作參考</x:v>
      </x:c>
      <x:c r="K363" s="38" t="str">
        <x:v>8–20 分鐘</x:v>
      </x:c>
      <x:c r="L363" s="38" t="str">
        <x:v>優先找有畫面操作、步驟清楚、可暫停跟做的版本</x:v>
      </x:c>
      <x:c r="M363" s="38" t="str">
        <x:v>□ 未挑選</x:v>
      </x:c>
      <x:c r="N363" s="38" t="str"/>
      <x:c r="O363" s="38" t="str"/>
    </x:row>
    <x:row r="364">
      <x:c r="A364" s="38" t="n">
        <x:v>121</x:v>
      </x:c>
      <x:c r="B364" s="38" t="str">
        <x:v>第 3 年</x:v>
      </x:c>
      <x:c r="C364" s="38" t="str">
        <x:v>M08 資料科學與電池／能源探險</x:v>
      </x:c>
      <x:c r="D364" s="38" t="n">
        <x:v>9</x:v>
      </x:c>
      <x:c r="E364" s="38" t="str">
        <x:v>SOC：還剩多少能量</x:v>
      </x:c>
      <x:c r="F364" s="38" t="n">
        <x:v>3</x:v>
      </x:c>
      <x:c r="G364" s="38" t="str">
        <x:v>中文延伸／倫理安全</x:v>
      </x:c>
      <x:c r="H364" s="38" t="str">
        <x:v>SOC 還剩多少能量 中文 教學 原理 安全 親子 data science battery energy visualization</x:v>
      </x:c>
      <x:c r="I364" s="38" t="str">
        <x:v>https://www.youtube.com/results?search_query=SOC+%E9%82%84%E5%89%A9%E5%A4%9A%E5%B0%91%E8%83%BD%E9%87%8F+%E4%B8%AD%E6%96%87+%E6%95%99%E5%AD%B8+%E5%8E%9F%E7%90%86+%E5%AE%89%E5%85%A8+%E8%A6%AA%E5%AD%90+data+science+battery+energy+visualization</x:v>
      </x:c>
      <x:c r="J364" s="38" t="str">
        <x:v>課後延伸／親子討論</x:v>
      </x:c>
      <x:c r="K364" s="38" t="str">
        <x:v>6–15 分鐘</x:v>
      </x:c>
      <x:c r="L364" s="38" t="str">
        <x:v>補充應用、倫理、安全或真實案例；父子各說一個觀點</x:v>
      </x:c>
      <x:c r="M364" s="38" t="str">
        <x:v>□ 未挑選</x:v>
      </x:c>
      <x:c r="N364" s="38" t="str"/>
      <x:c r="O364" s="38" t="str"/>
    </x:row>
    <x:row r="365">
      <x:c r="A365" s="38" t="n">
        <x:v>122</x:v>
      </x:c>
      <x:c r="B365" s="38" t="str">
        <x:v>第 3 年</x:v>
      </x:c>
      <x:c r="C365" s="38" t="str">
        <x:v>M08 資料科學與電池／能源探險</x:v>
      </x:c>
      <x:c r="D365" s="38" t="n">
        <x:v>10</x:v>
      </x:c>
      <x:c r="E365" s="38" t="str">
        <x:v>SOH 與老化：新舊電池差在哪</x:v>
      </x:c>
      <x:c r="F365" s="38" t="n">
        <x:v>1</x:v>
      </x:c>
      <x:c r="G365" s="38" t="str">
        <x:v>概念入門／官方優先</x:v>
      </x:c>
      <x:c r="H365" s="38" t="str">
        <x:v>SOH 與老化 新舊電池差在哪 data science battery energy visualization beginner tutorial Khan</x:v>
      </x:c>
      <x:c r="I365" s="38" t="str">
        <x:v>https://www.youtube.com/results?search_query=SOH+%E8%88%87%E8%80%81%E5%8C%96+%E6%96%B0%E8%88%8A%E9%9B%BB%E6%B1%A0%E5%B7%AE%E5%9C%A8%E5%93%AA+data+science+battery+energy+visualization+beginner+tutorial+Khan</x:v>
      </x:c>
      <x:c r="J365" s="38" t="str">
        <x:v>課前暖身</x:v>
      </x:c>
      <x:c r="K365" s="38" t="str">
        <x:v>5–12 分鐘</x:v>
      </x:c>
      <x:c r="L365" s="38" t="str">
        <x:v>先建立直覺；看完能說出 3 個關鍵詞</x:v>
      </x:c>
      <x:c r="M365" s="38" t="str">
        <x:v>□ 未挑選</x:v>
      </x:c>
      <x:c r="N365" s="38" t="str"/>
      <x:c r="O365" s="38" t="str"/>
    </x:row>
    <x:row r="366">
      <x:c r="A366" s="38" t="n">
        <x:v>122</x:v>
      </x:c>
      <x:c r="B366" s="38" t="str">
        <x:v>第 3 年</x:v>
      </x:c>
      <x:c r="C366" s="38" t="str">
        <x:v>M08 資料科學與電池／能源探險</x:v>
      </x:c>
      <x:c r="D366" s="38" t="n">
        <x:v>10</x:v>
      </x:c>
      <x:c r="E366" s="38" t="str">
        <x:v>SOH 與老化：新舊電池差在哪</x:v>
      </x:c>
      <x:c r="F366" s="38" t="n">
        <x:v>2</x:v>
      </x:c>
      <x:c r="G366" s="38" t="str">
        <x:v>跟做實作／專案導向</x:v>
      </x:c>
      <x:c r="H366" s="38" t="str">
        <x:v>SOH 與老化 新舊電池差在哪 理解容量、內阻、循環、溫度與使用條件 hands on project for kids data science battery energy visualization</x:v>
      </x:c>
      <x:c r="I366" s="38" t="str">
        <x:v>https://www.youtube.com/results?search_query=SOH+%E8%88%87%E8%80%81%E5%8C%96+%E6%96%B0%E8%88%8A%E9%9B%BB%E6%B1%A0%E5%B7%AE%E5%9C%A8%E5%93%AA+%E7%90%86%E8%A7%A3%E5%AE%B9%E9%87%8F%E3%80%81%E5%85%A7%E9%98%BB%E3%80%81%E5%BE%AA%E7%92%B0%E3%80%81%E6%BA%AB%E5%BA%A6%E8%88%87%E4%BD%BF%E7%94%A8%E6%A2%9D%E4%BB%B6+hands+on+project+for+kids+data+science+battery+energy+visualization</x:v>
      </x:c>
      <x:c r="J366" s="38" t="str">
        <x:v>課中實作參考</x:v>
      </x:c>
      <x:c r="K366" s="38" t="str">
        <x:v>8–20 分鐘</x:v>
      </x:c>
      <x:c r="L366" s="38" t="str">
        <x:v>優先找有畫面操作、步驟清楚、可暫停跟做的版本</x:v>
      </x:c>
      <x:c r="M366" s="38" t="str">
        <x:v>□ 未挑選</x:v>
      </x:c>
      <x:c r="N366" s="38" t="str"/>
      <x:c r="O366" s="38" t="str"/>
    </x:row>
    <x:row r="367">
      <x:c r="A367" s="38" t="n">
        <x:v>122</x:v>
      </x:c>
      <x:c r="B367" s="38" t="str">
        <x:v>第 3 年</x:v>
      </x:c>
      <x:c r="C367" s="38" t="str">
        <x:v>M08 資料科學與電池／能源探險</x:v>
      </x:c>
      <x:c r="D367" s="38" t="n">
        <x:v>10</x:v>
      </x:c>
      <x:c r="E367" s="38" t="str">
        <x:v>SOH 與老化：新舊電池差在哪</x:v>
      </x:c>
      <x:c r="F367" s="38" t="n">
        <x:v>3</x:v>
      </x:c>
      <x:c r="G367" s="38" t="str">
        <x:v>中文延伸／倫理安全</x:v>
      </x:c>
      <x:c r="H367" s="38" t="str">
        <x:v>SOH 與老化 新舊電池差在哪 中文 教學 原理 安全 親子 data science battery energy visualization</x:v>
      </x:c>
      <x:c r="I367" s="38" t="str">
        <x:v>https://www.youtube.com/results?search_query=SOH+%E8%88%87%E8%80%81%E5%8C%96+%E6%96%B0%E8%88%8A%E9%9B%BB%E6%B1%A0%E5%B7%AE%E5%9C%A8%E5%93%AA+%E4%B8%AD%E6%96%87+%E6%95%99%E5%AD%B8+%E5%8E%9F%E7%90%86+%E5%AE%89%E5%85%A8+%E8%A6%AA%E5%AD%90+data+science+battery+energy+visualization</x:v>
      </x:c>
      <x:c r="J367" s="38" t="str">
        <x:v>課後延伸／親子討論</x:v>
      </x:c>
      <x:c r="K367" s="38" t="str">
        <x:v>6–15 分鐘</x:v>
      </x:c>
      <x:c r="L367" s="38" t="str">
        <x:v>補充應用、倫理、安全或真實案例；父子各說一個觀點</x:v>
      </x:c>
      <x:c r="M367" s="38" t="str">
        <x:v>□ 未挑選</x:v>
      </x:c>
      <x:c r="N367" s="38" t="str"/>
      <x:c r="O367" s="38" t="str"/>
    </x:row>
    <x:row r="368">
      <x:c r="A368" s="38" t="n">
        <x:v>123</x:v>
      </x:c>
      <x:c r="B368" s="38" t="str">
        <x:v>第 3 年</x:v>
      </x:c>
      <x:c r="C368" s="38" t="str">
        <x:v>M08 資料科學與電池／能源探險</x:v>
      </x:c>
      <x:c r="D368" s="38" t="n">
        <x:v>11</x:v>
      </x:c>
      <x:c r="E368" s="38" t="str">
        <x:v>充電曲線與功率限制</x:v>
      </x:c>
      <x:c r="F368" s="38" t="n">
        <x:v>1</x:v>
      </x:c>
      <x:c r="G368" s="38" t="str">
        <x:v>概念入門／官方優先</x:v>
      </x:c>
      <x:c r="H368" s="38" t="str">
        <x:v>充電曲線與功率限制 data science battery energy visualization beginner tutorial Khan</x:v>
      </x:c>
      <x:c r="I368" s="38" t="str">
        <x:v>https://www.youtube.com/results?search_query=%E5%85%85%E9%9B%BB%E6%9B%B2%E7%B7%9A%E8%88%87%E5%8A%9F%E7%8E%87%E9%99%90%E5%88%B6+data+science+battery+energy+visualization+beginner+tutorial+Khan</x:v>
      </x:c>
      <x:c r="J368" s="38" t="str">
        <x:v>課前暖身</x:v>
      </x:c>
      <x:c r="K368" s="38" t="str">
        <x:v>5–12 分鐘</x:v>
      </x:c>
      <x:c r="L368" s="38" t="str">
        <x:v>先建立直覺；看完能說出 3 個關鍵詞</x:v>
      </x:c>
      <x:c r="M368" s="38" t="str">
        <x:v>□ 未挑選</x:v>
      </x:c>
      <x:c r="N368" s="38" t="str"/>
      <x:c r="O368" s="38" t="str"/>
    </x:row>
    <x:row r="369">
      <x:c r="A369" s="38" t="n">
        <x:v>123</x:v>
      </x:c>
      <x:c r="B369" s="38" t="str">
        <x:v>第 3 年</x:v>
      </x:c>
      <x:c r="C369" s="38" t="str">
        <x:v>M08 資料科學與電池／能源探險</x:v>
      </x:c>
      <x:c r="D369" s="38" t="n">
        <x:v>11</x:v>
      </x:c>
      <x:c r="E369" s="38" t="str">
        <x:v>充電曲線與功率限制</x:v>
      </x:c>
      <x:c r="F369" s="38" t="n">
        <x:v>2</x:v>
      </x:c>
      <x:c r="G369" s="38" t="str">
        <x:v>跟做實作／專案導向</x:v>
      </x:c>
      <x:c r="H369" s="38" t="str">
        <x:v>充電曲線與功率限制 理解 CC/CV、功率 P=VI、充電速度與熱的權衡 hands on project for kids data science battery energy visualization</x:v>
      </x:c>
      <x:c r="I369" s="38" t="str">
        <x:v>https://www.youtube.com/results?search_query=%E5%85%85%E9%9B%BB%E6%9B%B2%E7%B7%9A%E8%88%87%E5%8A%9F%E7%8E%87%E9%99%90%E5%88%B6+%E7%90%86%E8%A7%A3+CC%2FCV%E3%80%81%E5%8A%9F%E7%8E%87+P%3DVI%E3%80%81%E5%85%85%E9%9B%BB%E9%80%9F%E5%BA%A6%E8%88%87%E7%86%B1%E7%9A%84%E6%AC%8A%E8%A1%A1+hands+on+project+for+kids+data+science+battery+energy+visualization</x:v>
      </x:c>
      <x:c r="J369" s="38" t="str">
        <x:v>課中實作參考</x:v>
      </x:c>
      <x:c r="K369" s="38" t="str">
        <x:v>8–20 分鐘</x:v>
      </x:c>
      <x:c r="L369" s="38" t="str">
        <x:v>優先找有畫面操作、步驟清楚、可暫停跟做的版本</x:v>
      </x:c>
      <x:c r="M369" s="38" t="str">
        <x:v>□ 未挑選</x:v>
      </x:c>
      <x:c r="N369" s="38" t="str"/>
      <x:c r="O369" s="38" t="str"/>
    </x:row>
    <x:row r="370">
      <x:c r="A370" s="38" t="n">
        <x:v>123</x:v>
      </x:c>
      <x:c r="B370" s="38" t="str">
        <x:v>第 3 年</x:v>
      </x:c>
      <x:c r="C370" s="38" t="str">
        <x:v>M08 資料科學與電池／能源探險</x:v>
      </x:c>
      <x:c r="D370" s="38" t="n">
        <x:v>11</x:v>
      </x:c>
      <x:c r="E370" s="38" t="str">
        <x:v>充電曲線與功率限制</x:v>
      </x:c>
      <x:c r="F370" s="38" t="n">
        <x:v>3</x:v>
      </x:c>
      <x:c r="G370" s="38" t="str">
        <x:v>中文延伸／倫理安全</x:v>
      </x:c>
      <x:c r="H370" s="38" t="str">
        <x:v>充電曲線與功率限制 中文 教學 原理 安全 親子 data science battery energy visualization</x:v>
      </x:c>
      <x:c r="I370" s="38" t="str">
        <x:v>https://www.youtube.com/results?search_query=%E5%85%85%E9%9B%BB%E6%9B%B2%E7%B7%9A%E8%88%87%E5%8A%9F%E7%8E%87%E9%99%90%E5%88%B6+%E4%B8%AD%E6%96%87+%E6%95%99%E5%AD%B8+%E5%8E%9F%E7%90%86+%E5%AE%89%E5%85%A8+%E8%A6%AA%E5%AD%90+data+science+battery+energy+visualization</x:v>
      </x:c>
      <x:c r="J370" s="38" t="str">
        <x:v>課後延伸／親子討論</x:v>
      </x:c>
      <x:c r="K370" s="38" t="str">
        <x:v>6–15 分鐘</x:v>
      </x:c>
      <x:c r="L370" s="38" t="str">
        <x:v>補充應用、倫理、安全或真實案例；父子各說一個觀點</x:v>
      </x:c>
      <x:c r="M370" s="38" t="str">
        <x:v>□ 未挑選</x:v>
      </x:c>
      <x:c r="N370" s="38" t="str"/>
      <x:c r="O370" s="38" t="str"/>
    </x:row>
    <x:row r="371">
      <x:c r="A371" s="38" t="n">
        <x:v>124</x:v>
      </x:c>
      <x:c r="B371" s="38" t="str">
        <x:v>第 3 年</x:v>
      </x:c>
      <x:c r="C371" s="38" t="str">
        <x:v>M08 資料科學與電池／能源探險</x:v>
      </x:c>
      <x:c r="D371" s="38" t="n">
        <x:v>12</x:v>
      </x:c>
      <x:c r="E371" s="38" t="str">
        <x:v>能量、功率與電費</x:v>
      </x:c>
      <x:c r="F371" s="38" t="n">
        <x:v>1</x:v>
      </x:c>
      <x:c r="G371" s="38" t="str">
        <x:v>概念入門／官方優先</x:v>
      </x:c>
      <x:c r="H371" s="38" t="str">
        <x:v>能量、功率與電費 data science battery energy visualization beginner tutorial Khan</x:v>
      </x:c>
      <x:c r="I371" s="38" t="str">
        <x:v>https://www.youtube.com/results?search_query=%E8%83%BD%E9%87%8F%E3%80%81%E5%8A%9F%E7%8E%87%E8%88%87%E9%9B%BB%E8%B2%BB+data+science+battery+energy+visualization+beginner+tutorial+Khan</x:v>
      </x:c>
      <x:c r="J371" s="38" t="str">
        <x:v>課前暖身</x:v>
      </x:c>
      <x:c r="K371" s="38" t="str">
        <x:v>5–12 分鐘</x:v>
      </x:c>
      <x:c r="L371" s="38" t="str">
        <x:v>先建立直覺；看完能說出 3 個關鍵詞</x:v>
      </x:c>
      <x:c r="M371" s="38" t="str">
        <x:v>□ 未挑選</x:v>
      </x:c>
      <x:c r="N371" s="38" t="str"/>
      <x:c r="O371" s="38" t="str"/>
    </x:row>
    <x:row r="372">
      <x:c r="A372" s="38" t="n">
        <x:v>124</x:v>
      </x:c>
      <x:c r="B372" s="38" t="str">
        <x:v>第 3 年</x:v>
      </x:c>
      <x:c r="C372" s="38" t="str">
        <x:v>M08 資料科學與電池／能源探險</x:v>
      </x:c>
      <x:c r="D372" s="38" t="n">
        <x:v>12</x:v>
      </x:c>
      <x:c r="E372" s="38" t="str">
        <x:v>能量、功率與電費</x:v>
      </x:c>
      <x:c r="F372" s="38" t="n">
        <x:v>2</x:v>
      </x:c>
      <x:c r="G372" s="38" t="str">
        <x:v>跟做實作／專案導向</x:v>
      </x:c>
      <x:c r="H372" s="38" t="str">
        <x:v>能量、功率與電費 區分 W、Wh、kW、kWh 並估算家電用能 hands on project for kids data science battery energy visualization</x:v>
      </x:c>
      <x:c r="I372" s="38" t="str">
        <x:v>https://www.youtube.com/results?search_query=%E8%83%BD%E9%87%8F%E3%80%81%E5%8A%9F%E7%8E%87%E8%88%87%E9%9B%BB%E8%B2%BB+%E5%8D%80%E5%88%86+W%E3%80%81Wh%E3%80%81kW%E3%80%81kWh+%E4%B8%A6%E4%BC%B0%E7%AE%97%E5%AE%B6%E9%9B%BB%E7%94%A8%E8%83%BD+hands+on+project+for+kids+data+science+battery+energy+visualization</x:v>
      </x:c>
      <x:c r="J372" s="38" t="str">
        <x:v>課中實作參考</x:v>
      </x:c>
      <x:c r="K372" s="38" t="str">
        <x:v>8–20 分鐘</x:v>
      </x:c>
      <x:c r="L372" s="38" t="str">
        <x:v>優先找有畫面操作、步驟清楚、可暫停跟做的版本</x:v>
      </x:c>
      <x:c r="M372" s="38" t="str">
        <x:v>□ 未挑選</x:v>
      </x:c>
      <x:c r="N372" s="38" t="str"/>
      <x:c r="O372" s="38" t="str"/>
    </x:row>
    <x:row r="373">
      <x:c r="A373" s="38" t="n">
        <x:v>124</x:v>
      </x:c>
      <x:c r="B373" s="38" t="str">
        <x:v>第 3 年</x:v>
      </x:c>
      <x:c r="C373" s="38" t="str">
        <x:v>M08 資料科學與電池／能源探險</x:v>
      </x:c>
      <x:c r="D373" s="38" t="n">
        <x:v>12</x:v>
      </x:c>
      <x:c r="E373" s="38" t="str">
        <x:v>能量、功率與電費</x:v>
      </x:c>
      <x:c r="F373" s="38" t="n">
        <x:v>3</x:v>
      </x:c>
      <x:c r="G373" s="38" t="str">
        <x:v>中文延伸／倫理安全</x:v>
      </x:c>
      <x:c r="H373" s="38" t="str">
        <x:v>能量、功率與電費 中文 教學 原理 安全 親子 data science battery energy visualization</x:v>
      </x:c>
      <x:c r="I373" s="38" t="str">
        <x:v>https://www.youtube.com/results?search_query=%E8%83%BD%E9%87%8F%E3%80%81%E5%8A%9F%E7%8E%87%E8%88%87%E9%9B%BB%E8%B2%BB+%E4%B8%AD%E6%96%87+%E6%95%99%E5%AD%B8+%E5%8E%9F%E7%90%86+%E5%AE%89%E5%85%A8+%E8%A6%AA%E5%AD%90+data+science+battery+energy+visualization</x:v>
      </x:c>
      <x:c r="J373" s="38" t="str">
        <x:v>課後延伸／親子討論</x:v>
      </x:c>
      <x:c r="K373" s="38" t="str">
        <x:v>6–15 分鐘</x:v>
      </x:c>
      <x:c r="L373" s="38" t="str">
        <x:v>補充應用、倫理、安全或真實案例；父子各說一個觀點</x:v>
      </x:c>
      <x:c r="M373" s="38" t="str">
        <x:v>□ 未挑選</x:v>
      </x:c>
      <x:c r="N373" s="38" t="str"/>
      <x:c r="O373" s="38" t="str"/>
    </x:row>
    <x:row r="374">
      <x:c r="A374" s="38" t="n">
        <x:v>125</x:v>
      </x:c>
      <x:c r="B374" s="38" t="str">
        <x:v>第 3 年</x:v>
      </x:c>
      <x:c r="C374" s="38" t="str">
        <x:v>M08 資料科學與電池／能源探險</x:v>
      </x:c>
      <x:c r="D374" s="38" t="n">
        <x:v>13</x:v>
      </x:c>
      <x:c r="E374" s="38" t="str">
        <x:v>Python 資料分析：讀檔、計算、畫圖</x:v>
      </x:c>
      <x:c r="F374" s="38" t="n">
        <x:v>1</x:v>
      </x:c>
      <x:c r="G374" s="38" t="str">
        <x:v>概念入門／官方優先</x:v>
      </x:c>
      <x:c r="H374" s="38" t="str">
        <x:v>Python 資料分析 讀檔、計算、畫圖 data science battery energy visualization beginner tutorial Khan</x:v>
      </x:c>
      <x:c r="I374" s="38" t="str">
        <x:v>https://www.youtube.com/results?search_query=Python+%E8%B3%87%E6%96%99%E5%88%86%E6%9E%90+%E8%AE%80%E6%AA%94%E3%80%81%E8%A8%88%E7%AE%97%E3%80%81%E7%95%AB%E5%9C%96+data+science+battery+energy+visualization+beginner+tutorial+Khan</x:v>
      </x:c>
      <x:c r="J374" s="38" t="str">
        <x:v>課前暖身</x:v>
      </x:c>
      <x:c r="K374" s="38" t="str">
        <x:v>5–12 分鐘</x:v>
      </x:c>
      <x:c r="L374" s="38" t="str">
        <x:v>先建立直覺；看完能說出 3 個關鍵詞</x:v>
      </x:c>
      <x:c r="M374" s="38" t="str">
        <x:v>□ 未挑選</x:v>
      </x:c>
      <x:c r="N374" s="38" t="str"/>
      <x:c r="O374" s="38" t="str"/>
    </x:row>
    <x:row r="375">
      <x:c r="A375" s="38" t="n">
        <x:v>125</x:v>
      </x:c>
      <x:c r="B375" s="38" t="str">
        <x:v>第 3 年</x:v>
      </x:c>
      <x:c r="C375" s="38" t="str">
        <x:v>M08 資料科學與電池／能源探險</x:v>
      </x:c>
      <x:c r="D375" s="38" t="n">
        <x:v>13</x:v>
      </x:c>
      <x:c r="E375" s="38" t="str">
        <x:v>Python 資料分析：讀檔、計算、畫圖</x:v>
      </x:c>
      <x:c r="F375" s="38" t="n">
        <x:v>2</x:v>
      </x:c>
      <x:c r="G375" s="38" t="str">
        <x:v>跟做實作／專案導向</x:v>
      </x:c>
      <x:c r="H375" s="38" t="str">
        <x:v>Python 資料分析 讀檔、計算、畫圖 用 Python 載入 CSV、轉型、統計與輸出圖表 hands on project for kids data science</x:v>
      </x:c>
      <x:c r="I375" s="38" t="str">
        <x:v>https://www.youtube.com/results?search_query=Python+%E8%B3%87%E6%96%99%E5%88%86%E6%9E%90+%E8%AE%80%E6%AA%94%E3%80%81%E8%A8%88%E7%AE%97%E3%80%81%E7%95%AB%E5%9C%96+%E7%94%A8+Python+%E8%BC%89%E5%85%A5+CSV%E3%80%81%E8%BD%89%E5%9E%8B%E3%80%81%E7%B5%B1%E8%A8%88%E8%88%87%E8%BC%B8%E5%87%BA%E5%9C%96%E8%A1%A8+hands+on+project+for+kids+data+science+battery+energy+visualization</x:v>
      </x:c>
      <x:c r="J375" s="38" t="str">
        <x:v>課中實作參考</x:v>
      </x:c>
      <x:c r="K375" s="38" t="str">
        <x:v>8–20 分鐘</x:v>
      </x:c>
      <x:c r="L375" s="38" t="str">
        <x:v>優先找有畫面操作、步驟清楚、可暫停跟做的版本</x:v>
      </x:c>
      <x:c r="M375" s="38" t="str">
        <x:v>□ 未挑選</x:v>
      </x:c>
      <x:c r="N375" s="38" t="str"/>
      <x:c r="O375" s="38" t="str"/>
    </x:row>
    <x:row r="376">
      <x:c r="A376" s="38" t="n">
        <x:v>125</x:v>
      </x:c>
      <x:c r="B376" s="38" t="str">
        <x:v>第 3 年</x:v>
      </x:c>
      <x:c r="C376" s="38" t="str">
        <x:v>M08 資料科學與電池／能源探險</x:v>
      </x:c>
      <x:c r="D376" s="38" t="n">
        <x:v>13</x:v>
      </x:c>
      <x:c r="E376" s="38" t="str">
        <x:v>Python 資料分析：讀檔、計算、畫圖</x:v>
      </x:c>
      <x:c r="F376" s="38" t="n">
        <x:v>3</x:v>
      </x:c>
      <x:c r="G376" s="38" t="str">
        <x:v>中文延伸／倫理安全</x:v>
      </x:c>
      <x:c r="H376" s="38" t="str">
        <x:v>Python 資料分析 讀檔、計算、畫圖 中文 教學 原理 安全 親子 data science battery energy visualization</x:v>
      </x:c>
      <x:c r="I376" s="38" t="str">
        <x:v>https://www.youtube.com/results?search_query=Python+%E8%B3%87%E6%96%99%E5%88%86%E6%9E%90+%E8%AE%80%E6%AA%94%E3%80%81%E8%A8%88%E7%AE%97%E3%80%81%E7%95%AB%E5%9C%96+%E4%B8%AD%E6%96%87+%E6%95%99%E5%AD%B8+%E5%8E%9F%E7%90%86+%E5%AE%89%E5%85%A8+%E8%A6%AA%E5%AD%90+data+science+battery+energy+visualization</x:v>
      </x:c>
      <x:c r="J376" s="38" t="str">
        <x:v>課後延伸／親子討論</x:v>
      </x:c>
      <x:c r="K376" s="38" t="str">
        <x:v>6–15 分鐘</x:v>
      </x:c>
      <x:c r="L376" s="38" t="str">
        <x:v>補充應用、倫理、安全或真實案例；父子各說一個觀點</x:v>
      </x:c>
      <x:c r="M376" s="38" t="str">
        <x:v>□ 未挑選</x:v>
      </x:c>
      <x:c r="N376" s="38" t="str"/>
      <x:c r="O376" s="38" t="str"/>
    </x:row>
    <x:row r="377">
      <x:c r="A377" s="38" t="n">
        <x:v>126</x:v>
      </x:c>
      <x:c r="B377" s="38" t="str">
        <x:v>第 3 年</x:v>
      </x:c>
      <x:c r="C377" s="38" t="str">
        <x:v>M08 資料科學與電池／能源探險</x:v>
      </x:c>
      <x:c r="D377" s="38" t="n">
        <x:v>14</x:v>
      </x:c>
      <x:c r="E377" s="38" t="str">
        <x:v>規則式異常偵測</x:v>
      </x:c>
      <x:c r="F377" s="38" t="n">
        <x:v>1</x:v>
      </x:c>
      <x:c r="G377" s="38" t="str">
        <x:v>概念入門／官方優先</x:v>
      </x:c>
      <x:c r="H377" s="38" t="str">
        <x:v>規則式異常偵測 data science battery energy visualization beginner tutorial Khan</x:v>
      </x:c>
      <x:c r="I377" s="38" t="str">
        <x:v>https://www.youtube.com/results?search_query=%E8%A6%8F%E5%89%87%E5%BC%8F%E7%95%B0%E5%B8%B8%E5%81%B5%E6%B8%AC+data+science+battery+energy+visualization+beginner+tutorial+Khan</x:v>
      </x:c>
      <x:c r="J377" s="38" t="str">
        <x:v>課前暖身</x:v>
      </x:c>
      <x:c r="K377" s="38" t="str">
        <x:v>5–12 分鐘</x:v>
      </x:c>
      <x:c r="L377" s="38" t="str">
        <x:v>先建立直覺；看完能說出 3 個關鍵詞</x:v>
      </x:c>
      <x:c r="M377" s="38" t="str">
        <x:v>□ 未挑選</x:v>
      </x:c>
      <x:c r="N377" s="38" t="str"/>
      <x:c r="O377" s="38" t="str"/>
    </x:row>
    <x:row r="378">
      <x:c r="A378" s="38" t="n">
        <x:v>126</x:v>
      </x:c>
      <x:c r="B378" s="38" t="str">
        <x:v>第 3 年</x:v>
      </x:c>
      <x:c r="C378" s="38" t="str">
        <x:v>M08 資料科學與電池／能源探險</x:v>
      </x:c>
      <x:c r="D378" s="38" t="n">
        <x:v>14</x:v>
      </x:c>
      <x:c r="E378" s="38" t="str">
        <x:v>規則式異常偵測</x:v>
      </x:c>
      <x:c r="F378" s="38" t="n">
        <x:v>2</x:v>
      </x:c>
      <x:c r="G378" s="38" t="str">
        <x:v>跟做實作／專案導向</x:v>
      </x:c>
      <x:c r="H378" s="38" t="str">
        <x:v>規則式異常偵測 以閾值、變化率、持續時間與多訊號條件定義異常 hands on project for kids data science battery energy visualization</x:v>
      </x:c>
      <x:c r="I378" s="38" t="str">
        <x:v>https://www.youtube.com/results?search_query=%E8%A6%8F%E5%89%87%E5%BC%8F%E7%95%B0%E5%B8%B8%E5%81%B5%E6%B8%AC+%E4%BB%A5%E9%96%BE%E5%80%BC%E3%80%81%E8%AE%8A%E5%8C%96%E7%8E%87%E3%80%81%E6%8C%81%E7%BA%8C%E6%99%82%E9%96%93%E8%88%87%E5%A4%9A%E8%A8%8A%E8%99%9F%E6%A2%9D%E4%BB%B6%E5%AE%9A%E7%BE%A9%E7%95%B0%E5%B8%B8+hands+on+project+for+kids+data+science+battery+energy+visualization</x:v>
      </x:c>
      <x:c r="J378" s="38" t="str">
        <x:v>課中實作參考</x:v>
      </x:c>
      <x:c r="K378" s="38" t="str">
        <x:v>8–20 分鐘</x:v>
      </x:c>
      <x:c r="L378" s="38" t="str">
        <x:v>優先找有畫面操作、步驟清楚、可暫停跟做的版本</x:v>
      </x:c>
      <x:c r="M378" s="38" t="str">
        <x:v>□ 未挑選</x:v>
      </x:c>
      <x:c r="N378" s="38" t="str"/>
      <x:c r="O378" s="38" t="str"/>
    </x:row>
    <x:row r="379">
      <x:c r="A379" s="38" t="n">
        <x:v>126</x:v>
      </x:c>
      <x:c r="B379" s="38" t="str">
        <x:v>第 3 年</x:v>
      </x:c>
      <x:c r="C379" s="38" t="str">
        <x:v>M08 資料科學與電池／能源探險</x:v>
      </x:c>
      <x:c r="D379" s="38" t="n">
        <x:v>14</x:v>
      </x:c>
      <x:c r="E379" s="38" t="str">
        <x:v>規則式異常偵測</x:v>
      </x:c>
      <x:c r="F379" s="38" t="n">
        <x:v>3</x:v>
      </x:c>
      <x:c r="G379" s="38" t="str">
        <x:v>中文延伸／倫理安全</x:v>
      </x:c>
      <x:c r="H379" s="38" t="str">
        <x:v>規則式異常偵測 中文 教學 原理 安全 親子 data science battery energy visualization</x:v>
      </x:c>
      <x:c r="I379" s="38" t="str">
        <x:v>https://www.youtube.com/results?search_query=%E8%A6%8F%E5%89%87%E5%BC%8F%E7%95%B0%E5%B8%B8%E5%81%B5%E6%B8%AC+%E4%B8%AD%E6%96%87+%E6%95%99%E5%AD%B8+%E5%8E%9F%E7%90%86+%E5%AE%89%E5%85%A8+%E8%A6%AA%E5%AD%90+data+science+battery+energy+visualization</x:v>
      </x:c>
      <x:c r="J379" s="38" t="str">
        <x:v>課後延伸／親子討論</x:v>
      </x:c>
      <x:c r="K379" s="38" t="str">
        <x:v>6–15 分鐘</x:v>
      </x:c>
      <x:c r="L379" s="38" t="str">
        <x:v>補充應用、倫理、安全或真實案例；父子各說一個觀點</x:v>
      </x:c>
      <x:c r="M379" s="38" t="str">
        <x:v>□ 未挑選</x:v>
      </x:c>
      <x:c r="N379" s="38" t="str"/>
      <x:c r="O379" s="38" t="str"/>
    </x:row>
    <x:row r="380">
      <x:c r="A380" s="38" t="n">
        <x:v>127</x:v>
      </x:c>
      <x:c r="B380" s="38" t="str">
        <x:v>第 3 年</x:v>
      </x:c>
      <x:c r="C380" s="38" t="str">
        <x:v>M08 資料科學與電池／能源探險</x:v>
      </x:c>
      <x:c r="D380" s="38" t="n">
        <x:v>15</x:v>
      </x:c>
      <x:c r="E380" s="38" t="str">
        <x:v>資料儀表板：先回答問題再畫圖</x:v>
      </x:c>
      <x:c r="F380" s="38" t="n">
        <x:v>1</x:v>
      </x:c>
      <x:c r="G380" s="38" t="str">
        <x:v>概念入門／官方優先</x:v>
      </x:c>
      <x:c r="H380" s="38" t="str">
        <x:v>資料儀表板 先回答問題再畫圖 data science battery energy visualization beginner tutorial Khan</x:v>
      </x:c>
      <x:c r="I380" s="38" t="str">
        <x:v>https://www.youtube.com/results?search_query=%E8%B3%87%E6%96%99%E5%84%80%E8%A1%A8%E6%9D%BF+%E5%85%88%E5%9B%9E%E7%AD%94%E5%95%8F%E9%A1%8C%E5%86%8D%E7%95%AB%E5%9C%96+data+science+battery+energy+visualization+beginner+tutorial+Khan</x:v>
      </x:c>
      <x:c r="J380" s="38" t="str">
        <x:v>課前暖身</x:v>
      </x:c>
      <x:c r="K380" s="38" t="str">
        <x:v>5–12 分鐘</x:v>
      </x:c>
      <x:c r="L380" s="38" t="str">
        <x:v>先建立直覺；看完能說出 3 個關鍵詞</x:v>
      </x:c>
      <x:c r="M380" s="38" t="str">
        <x:v>□ 未挑選</x:v>
      </x:c>
      <x:c r="N380" s="38" t="str"/>
      <x:c r="O380" s="38" t="str"/>
    </x:row>
    <x:row r="381">
      <x:c r="A381" s="38" t="n">
        <x:v>127</x:v>
      </x:c>
      <x:c r="B381" s="38" t="str">
        <x:v>第 3 年</x:v>
      </x:c>
      <x:c r="C381" s="38" t="str">
        <x:v>M08 資料科學與電池／能源探險</x:v>
      </x:c>
      <x:c r="D381" s="38" t="n">
        <x:v>15</x:v>
      </x:c>
      <x:c r="E381" s="38" t="str">
        <x:v>資料儀表板：先回答問題再畫圖</x:v>
      </x:c>
      <x:c r="F381" s="38" t="n">
        <x:v>2</x:v>
      </x:c>
      <x:c r="G381" s="38" t="str">
        <x:v>跟做實作／專案導向</x:v>
      </x:c>
      <x:c r="H381" s="38" t="str">
        <x:v>資料儀表板 先回答問題再畫圖 建立 KPI、趨勢、告警與說明，而非堆滿圖表 hands on project for kids data science battery energy visualization</x:v>
      </x:c>
      <x:c r="I381" s="38" t="str">
        <x:v>https://www.youtube.com/results?search_query=%E8%B3%87%E6%96%99%E5%84%80%E8%A1%A8%E6%9D%BF+%E5%85%88%E5%9B%9E%E7%AD%94%E5%95%8F%E9%A1%8C%E5%86%8D%E7%95%AB%E5%9C%96+%E5%BB%BA%E7%AB%8B+KPI%E3%80%81%E8%B6%A8%E5%8B%A2%E3%80%81%E5%91%8A%E8%AD%A6%E8%88%87%E8%AA%AA%E6%98%8E%EF%BC%8C%E8%80%8C%E9%9D%9E%E5%A0%86%E6%BB%BF%E5%9C%96%E8%A1%A8+hands+on+project+for+kids+data+science+battery+energy+visualization</x:v>
      </x:c>
      <x:c r="J381" s="38" t="str">
        <x:v>課中實作參考</x:v>
      </x:c>
      <x:c r="K381" s="38" t="str">
        <x:v>8–20 分鐘</x:v>
      </x:c>
      <x:c r="L381" s="38" t="str">
        <x:v>優先找有畫面操作、步驟清楚、可暫停跟做的版本</x:v>
      </x:c>
      <x:c r="M381" s="38" t="str">
        <x:v>□ 未挑選</x:v>
      </x:c>
      <x:c r="N381" s="38" t="str"/>
      <x:c r="O381" s="38" t="str"/>
    </x:row>
    <x:row r="382">
      <x:c r="A382" s="38" t="n">
        <x:v>127</x:v>
      </x:c>
      <x:c r="B382" s="38" t="str">
        <x:v>第 3 年</x:v>
      </x:c>
      <x:c r="C382" s="38" t="str">
        <x:v>M08 資料科學與電池／能源探險</x:v>
      </x:c>
      <x:c r="D382" s="38" t="n">
        <x:v>15</x:v>
      </x:c>
      <x:c r="E382" s="38" t="str">
        <x:v>資料儀表板：先回答問題再畫圖</x:v>
      </x:c>
      <x:c r="F382" s="38" t="n">
        <x:v>3</x:v>
      </x:c>
      <x:c r="G382" s="38" t="str">
        <x:v>中文延伸／倫理安全</x:v>
      </x:c>
      <x:c r="H382" s="38" t="str">
        <x:v>資料儀表板 先回答問題再畫圖 中文 教學 原理 安全 親子 data science battery energy visualization</x:v>
      </x:c>
      <x:c r="I382" s="38" t="str">
        <x:v>https://www.youtube.com/results?search_query=%E8%B3%87%E6%96%99%E5%84%80%E8%A1%A8%E6%9D%BF+%E5%85%88%E5%9B%9E%E7%AD%94%E5%95%8F%E9%A1%8C%E5%86%8D%E7%95%AB%E5%9C%96+%E4%B8%AD%E6%96%87+%E6%95%99%E5%AD%B8+%E5%8E%9F%E7%90%86+%E5%AE%89%E5%85%A8+%E8%A6%AA%E5%AD%90+data+science+battery+energy+visualization</x:v>
      </x:c>
      <x:c r="J382" s="38" t="str">
        <x:v>課後延伸／親子討論</x:v>
      </x:c>
      <x:c r="K382" s="38" t="str">
        <x:v>6–15 分鐘</x:v>
      </x:c>
      <x:c r="L382" s="38" t="str">
        <x:v>補充應用、倫理、安全或真實案例；父子各說一個觀點</x:v>
      </x:c>
      <x:c r="M382" s="38" t="str">
        <x:v>□ 未挑選</x:v>
      </x:c>
      <x:c r="N382" s="38" t="str"/>
      <x:c r="O382" s="38" t="str"/>
    </x:row>
    <x:row r="383">
      <x:c r="A383" s="38" t="n">
        <x:v>128</x:v>
      </x:c>
      <x:c r="B383" s="38" t="str">
        <x:v>第 3 年</x:v>
      </x:c>
      <x:c r="C383" s="38" t="str">
        <x:v>M08 資料科學與電池／能源探險</x:v>
      </x:c>
      <x:c r="D383" s="38" t="n">
        <x:v>16</x:v>
      </x:c>
      <x:c r="E383" s="38" t="str">
        <x:v>能源科學展：結論有證據嗎</x:v>
      </x:c>
      <x:c r="F383" s="38" t="n">
        <x:v>1</x:v>
      </x:c>
      <x:c r="G383" s="38" t="str">
        <x:v>概念入門／官方優先</x:v>
      </x:c>
      <x:c r="H383" s="38" t="str">
        <x:v>能源科學展 結論有證據嗎 data science battery energy visualization beginner tutorial Khan</x:v>
      </x:c>
      <x:c r="I383" s="38" t="str">
        <x:v>https://www.youtube.com/results?search_query=%E8%83%BD%E6%BA%90%E7%A7%91%E5%AD%B8%E5%B1%95+%E7%B5%90%E8%AB%96%E6%9C%89%E8%AD%89%E6%93%9A%E5%97%8E+data+science+battery+energy+visualization+beginner+tutorial+Khan</x:v>
      </x:c>
      <x:c r="J383" s="38" t="str">
        <x:v>課前暖身</x:v>
      </x:c>
      <x:c r="K383" s="38" t="str">
        <x:v>5–12 分鐘</x:v>
      </x:c>
      <x:c r="L383" s="38" t="str">
        <x:v>先建立直覺；看完能說出 3 個關鍵詞</x:v>
      </x:c>
      <x:c r="M383" s="38" t="str">
        <x:v>□ 未挑選</x:v>
      </x:c>
      <x:c r="N383" s="38" t="str"/>
      <x:c r="O383" s="38" t="str"/>
    </x:row>
    <x:row r="384">
      <x:c r="A384" s="38" t="n">
        <x:v>128</x:v>
      </x:c>
      <x:c r="B384" s="38" t="str">
        <x:v>第 3 年</x:v>
      </x:c>
      <x:c r="C384" s="38" t="str">
        <x:v>M08 資料科學與電池／能源探險</x:v>
      </x:c>
      <x:c r="D384" s="38" t="n">
        <x:v>16</x:v>
      </x:c>
      <x:c r="E384" s="38" t="str">
        <x:v>能源科學展：結論有證據嗎</x:v>
      </x:c>
      <x:c r="F384" s="38" t="n">
        <x:v>2</x:v>
      </x:c>
      <x:c r="G384" s="38" t="str">
        <x:v>跟做實作／專案導向</x:v>
      </x:c>
      <x:c r="H384" s="38" t="str">
        <x:v>能源科學展 結論有證據嗎 練習方法、結果、限制、重現與口頭答辯 hands on project for kids data science battery energy visualization</x:v>
      </x:c>
      <x:c r="I384" s="38" t="str">
        <x:v>https://www.youtube.com/results?search_query=%E8%83%BD%E6%BA%90%E7%A7%91%E5%AD%B8%E5%B1%95+%E7%B5%90%E8%AB%96%E6%9C%89%E8%AD%89%E6%93%9A%E5%97%8E+%E7%B7%B4%E7%BF%92%E6%96%B9%E6%B3%95%E3%80%81%E7%B5%90%E6%9E%9C%E3%80%81%E9%99%90%E5%88%B6%E3%80%81%E9%87%8D%E7%8F%BE%E8%88%87%E5%8F%A3%E9%A0%AD%E7%AD%94%E8%BE%AF+hands+on+project+for+kids+data+science+battery+energy+visualization</x:v>
      </x:c>
      <x:c r="J384" s="38" t="str">
        <x:v>課中實作參考</x:v>
      </x:c>
      <x:c r="K384" s="38" t="str">
        <x:v>8–20 分鐘</x:v>
      </x:c>
      <x:c r="L384" s="38" t="str">
        <x:v>優先找有畫面操作、步驟清楚、可暫停跟做的版本</x:v>
      </x:c>
      <x:c r="M384" s="38" t="str">
        <x:v>□ 未挑選</x:v>
      </x:c>
      <x:c r="N384" s="38" t="str"/>
      <x:c r="O384" s="38" t="str"/>
    </x:row>
    <x:row r="385">
      <x:c r="A385" s="38" t="n">
        <x:v>128</x:v>
      </x:c>
      <x:c r="B385" s="38" t="str">
        <x:v>第 3 年</x:v>
      </x:c>
      <x:c r="C385" s="38" t="str">
        <x:v>M08 資料科學與電池／能源探險</x:v>
      </x:c>
      <x:c r="D385" s="38" t="n">
        <x:v>16</x:v>
      </x:c>
      <x:c r="E385" s="38" t="str">
        <x:v>能源科學展：結論有證據嗎</x:v>
      </x:c>
      <x:c r="F385" s="38" t="n">
        <x:v>3</x:v>
      </x:c>
      <x:c r="G385" s="38" t="str">
        <x:v>中文延伸／倫理安全</x:v>
      </x:c>
      <x:c r="H385" s="38" t="str">
        <x:v>能源科學展 結論有證據嗎 中文 教學 原理 安全 親子 data science battery energy visualization</x:v>
      </x:c>
      <x:c r="I385" s="38" t="str">
        <x:v>https://www.youtube.com/results?search_query=%E8%83%BD%E6%BA%90%E7%A7%91%E5%AD%B8%E5%B1%95+%E7%B5%90%E8%AB%96%E6%9C%89%E8%AD%89%E6%93%9A%E5%97%8E+%E4%B8%AD%E6%96%87+%E6%95%99%E5%AD%B8+%E5%8E%9F%E7%90%86+%E5%AE%89%E5%85%A8+%E8%A6%AA%E5%AD%90+data+science+battery+energy+visualization</x:v>
      </x:c>
      <x:c r="J385" s="38" t="str">
        <x:v>課後延伸／親子討論</x:v>
      </x:c>
      <x:c r="K385" s="38" t="str">
        <x:v>6–15 分鐘</x:v>
      </x:c>
      <x:c r="L385" s="38" t="str">
        <x:v>補充應用、倫理、安全或真實案例；父子各說一個觀點</x:v>
      </x:c>
      <x:c r="M385" s="38" t="str">
        <x:v>□ 未挑選</x:v>
      </x:c>
      <x:c r="N385" s="38" t="str"/>
      <x:c r="O385" s="38" t="str"/>
    </x:row>
    <x:row r="386">
      <x:c r="A386" s="38" t="n">
        <x:v>129</x:v>
      </x:c>
      <x:c r="B386" s="38" t="str">
        <x:v>第 3 年</x:v>
      </x:c>
      <x:c r="C386" s="38" t="str">
        <x:v>M09 機器學習、生成式 AI 與責任</x:v>
      </x:c>
      <x:c r="D386" s="38" t="n">
        <x:v>1</x:v>
      </x:c>
      <x:c r="E386" s="38" t="str">
        <x:v>規則還是學習：怎麼讓機器做判斷</x:v>
      </x:c>
      <x:c r="F386" s="38" t="n">
        <x:v>1</x:v>
      </x:c>
      <x:c r="G386" s="38" t="str">
        <x:v>概念入門／官方優先</x:v>
      </x:c>
      <x:c r="H386" s="38" t="str">
        <x:v>規則還是學習 怎麼讓機器做判斷 machine learning responsible AI beginner tutorial Teachable</x:v>
      </x:c>
      <x:c r="I386" s="38" t="str">
        <x:v>https://www.youtube.com/results?search_query=%E8%A6%8F%E5%89%87%E9%82%84%E6%98%AF%E5%AD%B8%E7%BF%92+%E6%80%8E%E9%BA%BC%E8%AE%93%E6%A9%9F%E5%99%A8%E5%81%9A%E5%88%A4%E6%96%B7+machine+learning+responsible+AI+beginner+tutorial+Teachable</x:v>
      </x:c>
      <x:c r="J386" s="38" t="str">
        <x:v>課前暖身</x:v>
      </x:c>
      <x:c r="K386" s="38" t="str">
        <x:v>5–12 分鐘</x:v>
      </x:c>
      <x:c r="L386" s="38" t="str">
        <x:v>先建立直覺；看完能說出 3 個關鍵詞</x:v>
      </x:c>
      <x:c r="M386" s="38" t="str">
        <x:v>□ 未挑選</x:v>
      </x:c>
      <x:c r="N386" s="38" t="str"/>
      <x:c r="O386" s="38" t="str"/>
    </x:row>
    <x:row r="387">
      <x:c r="A387" s="38" t="n">
        <x:v>129</x:v>
      </x:c>
      <x:c r="B387" s="38" t="str">
        <x:v>第 3 年</x:v>
      </x:c>
      <x:c r="C387" s="38" t="str">
        <x:v>M09 機器學習、生成式 AI 與責任</x:v>
      </x:c>
      <x:c r="D387" s="38" t="n">
        <x:v>1</x:v>
      </x:c>
      <x:c r="E387" s="38" t="str">
        <x:v>規則還是學習：怎麼讓機器做判斷</x:v>
      </x:c>
      <x:c r="F387" s="38" t="n">
        <x:v>2</x:v>
      </x:c>
      <x:c r="G387" s="38" t="str">
        <x:v>跟做實作／專案導向</x:v>
      </x:c>
      <x:c r="H387" s="38" t="str">
        <x:v>規則還是學習 怎麼讓機器做判斷 比較人工規則與從資料學模式的差異 hands on project for kids machine learning responsible AI</x:v>
      </x:c>
      <x:c r="I387" s="38" t="str">
        <x:v>https://www.youtube.com/results?search_query=%E8%A6%8F%E5%89%87%E9%82%84%E6%98%AF%E5%AD%B8%E7%BF%92+%E6%80%8E%E9%BA%BC%E8%AE%93%E6%A9%9F%E5%99%A8%E5%81%9A%E5%88%A4%E6%96%B7+%E6%AF%94%E8%BC%83%E4%BA%BA%E5%B7%A5%E8%A6%8F%E5%89%87%E8%88%87%E5%BE%9E%E8%B3%87%E6%96%99%E5%AD%B8%E6%A8%A1%E5%BC%8F%E7%9A%84%E5%B7%AE%E7%95%B0+hands+on+project+for+kids+machine+learning+responsible+AI</x:v>
      </x:c>
      <x:c r="J387" s="38" t="str">
        <x:v>課中實作參考</x:v>
      </x:c>
      <x:c r="K387" s="38" t="str">
        <x:v>8–20 分鐘</x:v>
      </x:c>
      <x:c r="L387" s="38" t="str">
        <x:v>優先找有畫面操作、步驟清楚、可暫停跟做的版本</x:v>
      </x:c>
      <x:c r="M387" s="38" t="str">
        <x:v>□ 未挑選</x:v>
      </x:c>
      <x:c r="N387" s="38" t="str"/>
      <x:c r="O387" s="38" t="str"/>
    </x:row>
    <x:row r="388">
      <x:c r="A388" s="38" t="n">
        <x:v>129</x:v>
      </x:c>
      <x:c r="B388" s="38" t="str">
        <x:v>第 3 年</x:v>
      </x:c>
      <x:c r="C388" s="38" t="str">
        <x:v>M09 機器學習、生成式 AI 與責任</x:v>
      </x:c>
      <x:c r="D388" s="38" t="n">
        <x:v>1</x:v>
      </x:c>
      <x:c r="E388" s="38" t="str">
        <x:v>規則還是學習：怎麼讓機器做判斷</x:v>
      </x:c>
      <x:c r="F388" s="38" t="n">
        <x:v>3</x:v>
      </x:c>
      <x:c r="G388" s="38" t="str">
        <x:v>中文延伸／倫理安全</x:v>
      </x:c>
      <x:c r="H388" s="38" t="str">
        <x:v>規則還是學習 怎麼讓機器做判斷 中文 教學 原理 安全 親子 machine learning responsible AI</x:v>
      </x:c>
      <x:c r="I388" s="38" t="str">
        <x:v>https://www.youtube.com/results?search_query=%E8%A6%8F%E5%89%87%E9%82%84%E6%98%AF%E5%AD%B8%E7%BF%92+%E6%80%8E%E9%BA%BC%E8%AE%93%E6%A9%9F%E5%99%A8%E5%81%9A%E5%88%A4%E6%96%B7+%E4%B8%AD%E6%96%87+%E6%95%99%E5%AD%B8+%E5%8E%9F%E7%90%86+%E5%AE%89%E5%85%A8+%E8%A6%AA%E5%AD%90+machine+learning+responsible+AI</x:v>
      </x:c>
      <x:c r="J388" s="38" t="str">
        <x:v>課後延伸／親子討論</x:v>
      </x:c>
      <x:c r="K388" s="38" t="str">
        <x:v>6–15 分鐘</x:v>
      </x:c>
      <x:c r="L388" s="38" t="str">
        <x:v>補充應用、倫理、安全或真實案例；父子各說一個觀點</x:v>
      </x:c>
      <x:c r="M388" s="38" t="str">
        <x:v>□ 未挑選</x:v>
      </x:c>
      <x:c r="N388" s="38" t="str"/>
      <x:c r="O388" s="38" t="str"/>
    </x:row>
    <x:row r="389">
      <x:c r="A389" s="38" t="n">
        <x:v>130</x:v>
      </x:c>
      <x:c r="B389" s="38" t="str">
        <x:v>第 3 年</x:v>
      </x:c>
      <x:c r="C389" s="38" t="str">
        <x:v>M09 機器學習、生成式 AI 與責任</x:v>
      </x:c>
      <x:c r="D389" s="38" t="n">
        <x:v>2</x:v>
      </x:c>
      <x:c r="E389" s="38" t="str">
        <x:v>標籤與訓練資料：老師教錯會怎樣</x:v>
      </x:c>
      <x:c r="F389" s="38" t="n">
        <x:v>1</x:v>
      </x:c>
      <x:c r="G389" s="38" t="str">
        <x:v>概念入門／官方優先</x:v>
      </x:c>
      <x:c r="H389" s="38" t="str">
        <x:v>標籤與訓練資料 老師教錯會怎樣 machine learning responsible AI beginner tutorial Teachable</x:v>
      </x:c>
      <x:c r="I389" s="38" t="str">
        <x:v>https://www.youtube.com/results?search_query=%E6%A8%99%E7%B1%A4%E8%88%87%E8%A8%93%E7%B7%B4%E8%B3%87%E6%96%99+%E8%80%81%E5%B8%AB%E6%95%99%E9%8C%AF%E6%9C%83%E6%80%8E%E6%A8%A3+machine+learning+responsible+AI+beginner+tutorial+Teachable</x:v>
      </x:c>
      <x:c r="J389" s="38" t="str">
        <x:v>課前暖身</x:v>
      </x:c>
      <x:c r="K389" s="38" t="str">
        <x:v>5–12 分鐘</x:v>
      </x:c>
      <x:c r="L389" s="38" t="str">
        <x:v>先建立直覺；看完能說出 3 個關鍵詞</x:v>
      </x:c>
      <x:c r="M389" s="38" t="str">
        <x:v>□ 未挑選</x:v>
      </x:c>
      <x:c r="N389" s="38" t="str"/>
      <x:c r="O389" s="38" t="str"/>
    </x:row>
    <x:row r="390">
      <x:c r="A390" s="38" t="n">
        <x:v>130</x:v>
      </x:c>
      <x:c r="B390" s="38" t="str">
        <x:v>第 3 年</x:v>
      </x:c>
      <x:c r="C390" s="38" t="str">
        <x:v>M09 機器學習、生成式 AI 與責任</x:v>
      </x:c>
      <x:c r="D390" s="38" t="n">
        <x:v>2</x:v>
      </x:c>
      <x:c r="E390" s="38" t="str">
        <x:v>標籤與訓練資料：老師教錯會怎樣</x:v>
      </x:c>
      <x:c r="F390" s="38" t="n">
        <x:v>2</x:v>
      </x:c>
      <x:c r="G390" s="38" t="str">
        <x:v>跟做實作／專案導向</x:v>
      </x:c>
      <x:c r="H390" s="38" t="str">
        <x:v>標籤與訓練資料 老師教錯會怎樣 理解 label、feature、樣本平衡與資料品質 hands on project for kids machine learning responsible AI</x:v>
      </x:c>
      <x:c r="I390" s="38" t="str">
        <x:v>https://www.youtube.com/results?search_query=%E6%A8%99%E7%B1%A4%E8%88%87%E8%A8%93%E7%B7%B4%E8%B3%87%E6%96%99+%E8%80%81%E5%B8%AB%E6%95%99%E9%8C%AF%E6%9C%83%E6%80%8E%E6%A8%A3+%E7%90%86%E8%A7%A3+label%E3%80%81feature%E3%80%81%E6%A8%A3%E6%9C%AC%E5%B9%B3%E8%A1%A1%E8%88%87%E8%B3%87%E6%96%99%E5%93%81%E8%B3%AA+hands+on+project+for+kids+machine+learning+responsible+AI</x:v>
      </x:c>
      <x:c r="J390" s="38" t="str">
        <x:v>課中實作參考</x:v>
      </x:c>
      <x:c r="K390" s="38" t="str">
        <x:v>8–20 分鐘</x:v>
      </x:c>
      <x:c r="L390" s="38" t="str">
        <x:v>優先找有畫面操作、步驟清楚、可暫停跟做的版本</x:v>
      </x:c>
      <x:c r="M390" s="38" t="str">
        <x:v>□ 未挑選</x:v>
      </x:c>
      <x:c r="N390" s="38" t="str"/>
      <x:c r="O390" s="38" t="str"/>
    </x:row>
    <x:row r="391">
      <x:c r="A391" s="38" t="n">
        <x:v>130</x:v>
      </x:c>
      <x:c r="B391" s="38" t="str">
        <x:v>第 3 年</x:v>
      </x:c>
      <x:c r="C391" s="38" t="str">
        <x:v>M09 機器學習、生成式 AI 與責任</x:v>
      </x:c>
      <x:c r="D391" s="38" t="n">
        <x:v>2</x:v>
      </x:c>
      <x:c r="E391" s="38" t="str">
        <x:v>標籤與訓練資料：老師教錯會怎樣</x:v>
      </x:c>
      <x:c r="F391" s="38" t="n">
        <x:v>3</x:v>
      </x:c>
      <x:c r="G391" s="38" t="str">
        <x:v>中文延伸／倫理安全</x:v>
      </x:c>
      <x:c r="H391" s="38" t="str">
        <x:v>標籤與訓練資料 老師教錯會怎樣 中文 教學 原理 安全 親子 machine learning responsible AI</x:v>
      </x:c>
      <x:c r="I391" s="38" t="str">
        <x:v>https://www.youtube.com/results?search_query=%E6%A8%99%E7%B1%A4%E8%88%87%E8%A8%93%E7%B7%B4%E8%B3%87%E6%96%99+%E8%80%81%E5%B8%AB%E6%95%99%E9%8C%AF%E6%9C%83%E6%80%8E%E6%A8%A3+%E4%B8%AD%E6%96%87+%E6%95%99%E5%AD%B8+%E5%8E%9F%E7%90%86+%E5%AE%89%E5%85%A8+%E8%A6%AA%E5%AD%90+machine+learning+responsible+AI</x:v>
      </x:c>
      <x:c r="J391" s="38" t="str">
        <x:v>課後延伸／親子討論</x:v>
      </x:c>
      <x:c r="K391" s="38" t="str">
        <x:v>6–15 分鐘</x:v>
      </x:c>
      <x:c r="L391" s="38" t="str">
        <x:v>補充應用、倫理、安全或真實案例；父子各說一個觀點</x:v>
      </x:c>
      <x:c r="M391" s="38" t="str">
        <x:v>□ 未挑選</x:v>
      </x:c>
      <x:c r="N391" s="38" t="str"/>
      <x:c r="O391" s="38" t="str"/>
    </x:row>
    <x:row r="392">
      <x:c r="A392" s="38" t="n">
        <x:v>131</x:v>
      </x:c>
      <x:c r="B392" s="38" t="str">
        <x:v>第 3 年</x:v>
      </x:c>
      <x:c r="C392" s="38" t="str">
        <x:v>M09 機器學習、生成式 AI 與責任</x:v>
      </x:c>
      <x:c r="D392" s="38" t="n">
        <x:v>3</x:v>
      </x:c>
      <x:c r="E392" s="38" t="str">
        <x:v>影像分類：教電腦認爸爸和物品</x:v>
      </x:c>
      <x:c r="F392" s="38" t="n">
        <x:v>1</x:v>
      </x:c>
      <x:c r="G392" s="38" t="str">
        <x:v>概念入門／官方優先</x:v>
      </x:c>
      <x:c r="H392" s="38" t="str">
        <x:v>影像分類 教電腦認爸爸和物品 machine learning responsible AI beginner tutorial Teachable</x:v>
      </x:c>
      <x:c r="I392" s="38" t="str">
        <x:v>https://www.youtube.com/results?search_query=%E5%BD%B1%E5%83%8F%E5%88%86%E9%A1%9E+%E6%95%99%E9%9B%BB%E8%85%A6%E8%AA%8D%E7%88%B8%E7%88%B8%E5%92%8C%E7%89%A9%E5%93%81+machine+learning+responsible+AI+beginner+tutorial+Teachable</x:v>
      </x:c>
      <x:c r="J392" s="38" t="str">
        <x:v>課前暖身</x:v>
      </x:c>
      <x:c r="K392" s="38" t="str">
        <x:v>5–12 分鐘</x:v>
      </x:c>
      <x:c r="L392" s="38" t="str">
        <x:v>先建立直覺；看完能說出 3 個關鍵詞</x:v>
      </x:c>
      <x:c r="M392" s="38" t="str">
        <x:v>□ 未挑選</x:v>
      </x:c>
      <x:c r="N392" s="38" t="str"/>
      <x:c r="O392" s="38" t="str"/>
    </x:row>
    <x:row r="393">
      <x:c r="A393" s="38" t="n">
        <x:v>131</x:v>
      </x:c>
      <x:c r="B393" s="38" t="str">
        <x:v>第 3 年</x:v>
      </x:c>
      <x:c r="C393" s="38" t="str">
        <x:v>M09 機器學習、生成式 AI 與責任</x:v>
      </x:c>
      <x:c r="D393" s="38" t="n">
        <x:v>3</x:v>
      </x:c>
      <x:c r="E393" s="38" t="str">
        <x:v>影像分類：教電腦認爸爸和物品</x:v>
      </x:c>
      <x:c r="F393" s="38" t="n">
        <x:v>2</x:v>
      </x:c>
      <x:c r="G393" s="38" t="str">
        <x:v>跟做實作／專案導向</x:v>
      </x:c>
      <x:c r="H393" s="38" t="str">
        <x:v>影像分類 教電腦認爸爸和物品 完成收集、訓練、測試與改善循環 hands on project for kids machine learning responsible AI</x:v>
      </x:c>
      <x:c r="I393" s="38" t="str">
        <x:v>https://www.youtube.com/results?search_query=%E5%BD%B1%E5%83%8F%E5%88%86%E9%A1%9E+%E6%95%99%E9%9B%BB%E8%85%A6%E8%AA%8D%E7%88%B8%E7%88%B8%E5%92%8C%E7%89%A9%E5%93%81+%E5%AE%8C%E6%88%90%E6%94%B6%E9%9B%86%E3%80%81%E8%A8%93%E7%B7%B4%E3%80%81%E6%B8%AC%E8%A9%A6%E8%88%87%E6%94%B9%E5%96%84%E5%BE%AA%E7%92%B0+hands+on+project+for+kids+machine+learning+responsible+AI</x:v>
      </x:c>
      <x:c r="J393" s="38" t="str">
        <x:v>課中實作參考</x:v>
      </x:c>
      <x:c r="K393" s="38" t="str">
        <x:v>8–20 分鐘</x:v>
      </x:c>
      <x:c r="L393" s="38" t="str">
        <x:v>優先找有畫面操作、步驟清楚、可暫停跟做的版本</x:v>
      </x:c>
      <x:c r="M393" s="38" t="str">
        <x:v>□ 未挑選</x:v>
      </x:c>
      <x:c r="N393" s="38" t="str"/>
      <x:c r="O393" s="38" t="str"/>
    </x:row>
    <x:row r="394">
      <x:c r="A394" s="38" t="n">
        <x:v>131</x:v>
      </x:c>
      <x:c r="B394" s="38" t="str">
        <x:v>第 3 年</x:v>
      </x:c>
      <x:c r="C394" s="38" t="str">
        <x:v>M09 機器學習、生成式 AI 與責任</x:v>
      </x:c>
      <x:c r="D394" s="38" t="n">
        <x:v>3</x:v>
      </x:c>
      <x:c r="E394" s="38" t="str">
        <x:v>影像分類：教電腦認爸爸和物品</x:v>
      </x:c>
      <x:c r="F394" s="38" t="n">
        <x:v>3</x:v>
      </x:c>
      <x:c r="G394" s="38" t="str">
        <x:v>中文延伸／倫理安全</x:v>
      </x:c>
      <x:c r="H394" s="38" t="str">
        <x:v>影像分類 教電腦認爸爸和物品 中文 教學 原理 安全 親子 machine learning responsible AI</x:v>
      </x:c>
      <x:c r="I394" s="38" t="str">
        <x:v>https://www.youtube.com/results?search_query=%E5%BD%B1%E5%83%8F%E5%88%86%E9%A1%9E+%E6%95%99%E9%9B%BB%E8%85%A6%E8%AA%8D%E7%88%B8%E7%88%B8%E5%92%8C%E7%89%A9%E5%93%81+%E4%B8%AD%E6%96%87+%E6%95%99%E5%AD%B8+%E5%8E%9F%E7%90%86+%E5%AE%89%E5%85%A8+%E8%A6%AA%E5%AD%90+machine+learning+responsible+AI</x:v>
      </x:c>
      <x:c r="J394" s="38" t="str">
        <x:v>課後延伸／親子討論</x:v>
      </x:c>
      <x:c r="K394" s="38" t="str">
        <x:v>6–15 分鐘</x:v>
      </x:c>
      <x:c r="L394" s="38" t="str">
        <x:v>補充應用、倫理、安全或真實案例；父子各說一個觀點</x:v>
      </x:c>
      <x:c r="M394" s="38" t="str">
        <x:v>□ 未挑選</x:v>
      </x:c>
      <x:c r="N394" s="38" t="str"/>
      <x:c r="O394" s="38" t="str"/>
    </x:row>
    <x:row r="395">
      <x:c r="A395" s="38" t="n">
        <x:v>132</x:v>
      </x:c>
      <x:c r="B395" s="38" t="str">
        <x:v>第 3 年</x:v>
      </x:c>
      <x:c r="C395" s="38" t="str">
        <x:v>M09 機器學習、生成式 AI 與責任</x:v>
      </x:c>
      <x:c r="D395" s="38" t="n">
        <x:v>4</x:v>
      </x:c>
      <x:c r="E395" s="38" t="str">
        <x:v>聲音模型：掌聲、口令與背景噪音</x:v>
      </x:c>
      <x:c r="F395" s="38" t="n">
        <x:v>1</x:v>
      </x:c>
      <x:c r="G395" s="38" t="str">
        <x:v>概念入門／官方優先</x:v>
      </x:c>
      <x:c r="H395" s="38" t="str">
        <x:v>聲音模型 掌聲、口令與背景噪音 machine learning responsible AI beginner tutorial Teachable</x:v>
      </x:c>
      <x:c r="I395" s="38" t="str">
        <x:v>https://www.youtube.com/results?search_query=%E8%81%B2%E9%9F%B3%E6%A8%A1%E5%9E%8B+%E6%8E%8C%E8%81%B2%E3%80%81%E5%8F%A3%E4%BB%A4%E8%88%87%E8%83%8C%E6%99%AF%E5%99%AA%E9%9F%B3+machine+learning+responsible+AI+beginner+tutorial+Teachable</x:v>
      </x:c>
      <x:c r="J395" s="38" t="str">
        <x:v>課前暖身</x:v>
      </x:c>
      <x:c r="K395" s="38" t="str">
        <x:v>5–12 分鐘</x:v>
      </x:c>
      <x:c r="L395" s="38" t="str">
        <x:v>先建立直覺；看完能說出 3 個關鍵詞</x:v>
      </x:c>
      <x:c r="M395" s="38" t="str">
        <x:v>□ 未挑選</x:v>
      </x:c>
      <x:c r="N395" s="38" t="str"/>
      <x:c r="O395" s="38" t="str"/>
    </x:row>
    <x:row r="396">
      <x:c r="A396" s="38" t="n">
        <x:v>132</x:v>
      </x:c>
      <x:c r="B396" s="38" t="str">
        <x:v>第 3 年</x:v>
      </x:c>
      <x:c r="C396" s="38" t="str">
        <x:v>M09 機器學習、生成式 AI 與責任</x:v>
      </x:c>
      <x:c r="D396" s="38" t="n">
        <x:v>4</x:v>
      </x:c>
      <x:c r="E396" s="38" t="str">
        <x:v>聲音模型：掌聲、口令與背景噪音</x:v>
      </x:c>
      <x:c r="F396" s="38" t="n">
        <x:v>2</x:v>
      </x:c>
      <x:c r="G396" s="38" t="str">
        <x:v>跟做實作／專案導向</x:v>
      </x:c>
      <x:c r="H396" s="38" t="str">
        <x:v>聲音模型 掌聲、口令與背景噪音 理解聲音樣本、環境差異與誤觸發 hands on project for kids machine learning responsible AI</x:v>
      </x:c>
      <x:c r="I396" s="38" t="str">
        <x:v>https://www.youtube.com/results?search_query=%E8%81%B2%E9%9F%B3%E6%A8%A1%E5%9E%8B+%E6%8E%8C%E8%81%B2%E3%80%81%E5%8F%A3%E4%BB%A4%E8%88%87%E8%83%8C%E6%99%AF%E5%99%AA%E9%9F%B3+%E7%90%86%E8%A7%A3%E8%81%B2%E9%9F%B3%E6%A8%A3%E6%9C%AC%E3%80%81%E7%92%B0%E5%A2%83%E5%B7%AE%E7%95%B0%E8%88%87%E8%AA%A4%E8%A7%B8%E7%99%BC+hands+on+project+for+kids+machine+learning+responsible+AI</x:v>
      </x:c>
      <x:c r="J396" s="38" t="str">
        <x:v>課中實作參考</x:v>
      </x:c>
      <x:c r="K396" s="38" t="str">
        <x:v>8–20 分鐘</x:v>
      </x:c>
      <x:c r="L396" s="38" t="str">
        <x:v>優先找有畫面操作、步驟清楚、可暫停跟做的版本</x:v>
      </x:c>
      <x:c r="M396" s="38" t="str">
        <x:v>□ 未挑選</x:v>
      </x:c>
      <x:c r="N396" s="38" t="str"/>
      <x:c r="O396" s="38" t="str"/>
    </x:row>
    <x:row r="397">
      <x:c r="A397" s="38" t="n">
        <x:v>132</x:v>
      </x:c>
      <x:c r="B397" s="38" t="str">
        <x:v>第 3 年</x:v>
      </x:c>
      <x:c r="C397" s="38" t="str">
        <x:v>M09 機器學習、生成式 AI 與責任</x:v>
      </x:c>
      <x:c r="D397" s="38" t="n">
        <x:v>4</x:v>
      </x:c>
      <x:c r="E397" s="38" t="str">
        <x:v>聲音模型：掌聲、口令與背景噪音</x:v>
      </x:c>
      <x:c r="F397" s="38" t="n">
        <x:v>3</x:v>
      </x:c>
      <x:c r="G397" s="38" t="str">
        <x:v>中文延伸／倫理安全</x:v>
      </x:c>
      <x:c r="H397" s="38" t="str">
        <x:v>聲音模型 掌聲、口令與背景噪音 中文 教學 原理 安全 親子 machine learning responsible AI</x:v>
      </x:c>
      <x:c r="I397" s="38" t="str">
        <x:v>https://www.youtube.com/results?search_query=%E8%81%B2%E9%9F%B3%E6%A8%A1%E5%9E%8B+%E6%8E%8C%E8%81%B2%E3%80%81%E5%8F%A3%E4%BB%A4%E8%88%87%E8%83%8C%E6%99%AF%E5%99%AA%E9%9F%B3+%E4%B8%AD%E6%96%87+%E6%95%99%E5%AD%B8+%E5%8E%9F%E7%90%86+%E5%AE%89%E5%85%A8+%E8%A6%AA%E5%AD%90+machine+learning+responsible+AI</x:v>
      </x:c>
      <x:c r="J397" s="38" t="str">
        <x:v>課後延伸／親子討論</x:v>
      </x:c>
      <x:c r="K397" s="38" t="str">
        <x:v>6–15 分鐘</x:v>
      </x:c>
      <x:c r="L397" s="38" t="str">
        <x:v>補充應用、倫理、安全或真實案例；父子各說一個觀點</x:v>
      </x:c>
      <x:c r="M397" s="38" t="str">
        <x:v>□ 未挑選</x:v>
      </x:c>
      <x:c r="N397" s="38" t="str"/>
      <x:c r="O397" s="38" t="str"/>
    </x:row>
    <x:row r="398">
      <x:c r="A398" s="38" t="n">
        <x:v>133</x:v>
      </x:c>
      <x:c r="B398" s="38" t="str">
        <x:v>第 3 年</x:v>
      </x:c>
      <x:c r="C398" s="38" t="str">
        <x:v>M09 機器學習、生成式 AI 與責任</x:v>
      </x:c>
      <x:c r="D398" s="38" t="n">
        <x:v>5</x:v>
      </x:c>
      <x:c r="E398" s="38" t="str">
        <x:v>姿勢模型：人體就是控制器</x:v>
      </x:c>
      <x:c r="F398" s="38" t="n">
        <x:v>1</x:v>
      </x:c>
      <x:c r="G398" s="38" t="str">
        <x:v>概念入門／官方優先</x:v>
      </x:c>
      <x:c r="H398" s="38" t="str">
        <x:v>姿勢模型 人體就是控制器 machine learning responsible AI beginner tutorial Teachable</x:v>
      </x:c>
      <x:c r="I398" s="38" t="str">
        <x:v>https://www.youtube.com/results?search_query=%E5%A7%BF%E5%8B%A2%E6%A8%A1%E5%9E%8B+%E4%BA%BA%E9%AB%94%E5%B0%B1%E6%98%AF%E6%8E%A7%E5%88%B6%E5%99%A8+machine+learning+responsible+AI+beginner+tutorial+Teachable</x:v>
      </x:c>
      <x:c r="J398" s="38" t="str">
        <x:v>課前暖身</x:v>
      </x:c>
      <x:c r="K398" s="38" t="str">
        <x:v>5–12 分鐘</x:v>
      </x:c>
      <x:c r="L398" s="38" t="str">
        <x:v>先建立直覺；看完能說出 3 個關鍵詞</x:v>
      </x:c>
      <x:c r="M398" s="38" t="str">
        <x:v>□ 未挑選</x:v>
      </x:c>
      <x:c r="N398" s="38" t="str"/>
      <x:c r="O398" s="38" t="str"/>
    </x:row>
    <x:row r="399">
      <x:c r="A399" s="38" t="n">
        <x:v>133</x:v>
      </x:c>
      <x:c r="B399" s="38" t="str">
        <x:v>第 3 年</x:v>
      </x:c>
      <x:c r="C399" s="38" t="str">
        <x:v>M09 機器學習、生成式 AI 與責任</x:v>
      </x:c>
      <x:c r="D399" s="38" t="n">
        <x:v>5</x:v>
      </x:c>
      <x:c r="E399" s="38" t="str">
        <x:v>姿勢模型：人體就是控制器</x:v>
      </x:c>
      <x:c r="F399" s="38" t="n">
        <x:v>2</x:v>
      </x:c>
      <x:c r="G399" s="38" t="str">
        <x:v>跟做實作／專案導向</x:v>
      </x:c>
      <x:c r="H399" s="38" t="str">
        <x:v>姿勢模型 人體就是控制器 理解姿勢資料、鏡頭角度與個體差異 hands on project for kids machine learning responsible AI</x:v>
      </x:c>
      <x:c r="I399" s="38" t="str">
        <x:v>https://www.youtube.com/results?search_query=%E5%A7%BF%E5%8B%A2%E6%A8%A1%E5%9E%8B+%E4%BA%BA%E9%AB%94%E5%B0%B1%E6%98%AF%E6%8E%A7%E5%88%B6%E5%99%A8+%E7%90%86%E8%A7%A3%E5%A7%BF%E5%8B%A2%E8%B3%87%E6%96%99%E3%80%81%E9%8F%A1%E9%A0%AD%E8%A7%92%E5%BA%A6%E8%88%87%E5%80%8B%E9%AB%94%E5%B7%AE%E7%95%B0+hands+on+project+for+kids+machine+learning+responsible+AI</x:v>
      </x:c>
      <x:c r="J399" s="38" t="str">
        <x:v>課中實作參考</x:v>
      </x:c>
      <x:c r="K399" s="38" t="str">
        <x:v>8–20 分鐘</x:v>
      </x:c>
      <x:c r="L399" s="38" t="str">
        <x:v>優先找有畫面操作、步驟清楚、可暫停跟做的版本</x:v>
      </x:c>
      <x:c r="M399" s="38" t="str">
        <x:v>□ 未挑選</x:v>
      </x:c>
      <x:c r="N399" s="38" t="str"/>
      <x:c r="O399" s="38" t="str"/>
    </x:row>
    <x:row r="400">
      <x:c r="A400" s="38" t="n">
        <x:v>133</x:v>
      </x:c>
      <x:c r="B400" s="38" t="str">
        <x:v>第 3 年</x:v>
      </x:c>
      <x:c r="C400" s="38" t="str">
        <x:v>M09 機器學習、生成式 AI 與責任</x:v>
      </x:c>
      <x:c r="D400" s="38" t="n">
        <x:v>5</x:v>
      </x:c>
      <x:c r="E400" s="38" t="str">
        <x:v>姿勢模型：人體就是控制器</x:v>
      </x:c>
      <x:c r="F400" s="38" t="n">
        <x:v>3</x:v>
      </x:c>
      <x:c r="G400" s="38" t="str">
        <x:v>中文延伸／倫理安全</x:v>
      </x:c>
      <x:c r="H400" s="38" t="str">
        <x:v>姿勢模型 人體就是控制器 中文 教學 原理 安全 親子 machine learning responsible AI</x:v>
      </x:c>
      <x:c r="I400" s="38" t="str">
        <x:v>https://www.youtube.com/results?search_query=%E5%A7%BF%E5%8B%A2%E6%A8%A1%E5%9E%8B+%E4%BA%BA%E9%AB%94%E5%B0%B1%E6%98%AF%E6%8E%A7%E5%88%B6%E5%99%A8+%E4%B8%AD%E6%96%87+%E6%95%99%E5%AD%B8+%E5%8E%9F%E7%90%86+%E5%AE%89%E5%85%A8+%E8%A6%AA%E5%AD%90+machine+learning+responsible+AI</x:v>
      </x:c>
      <x:c r="J400" s="38" t="str">
        <x:v>課後延伸／親子討論</x:v>
      </x:c>
      <x:c r="K400" s="38" t="str">
        <x:v>6–15 分鐘</x:v>
      </x:c>
      <x:c r="L400" s="38" t="str">
        <x:v>補充應用、倫理、安全或真實案例；父子各說一個觀點</x:v>
      </x:c>
      <x:c r="M400" s="38" t="str">
        <x:v>□ 未挑選</x:v>
      </x:c>
      <x:c r="N400" s="38" t="str"/>
      <x:c r="O400" s="38" t="str"/>
    </x:row>
    <x:row r="401">
      <x:c r="A401" s="38" t="n">
        <x:v>134</x:v>
      </x:c>
      <x:c r="B401" s="38" t="str">
        <x:v>第 3 年</x:v>
      </x:c>
      <x:c r="C401" s="38" t="str">
        <x:v>M09 機器學習、生成式 AI 與責任</x:v>
      </x:c>
      <x:c r="D401" s="38" t="n">
        <x:v>6</x:v>
      </x:c>
      <x:c r="E401" s="38" t="str">
        <x:v>Train／Validation／Test 三種考卷</x:v>
      </x:c>
      <x:c r="F401" s="38" t="n">
        <x:v>1</x:v>
      </x:c>
      <x:c r="G401" s="38" t="str">
        <x:v>概念入門／官方優先</x:v>
      </x:c>
      <x:c r="H401" s="38" t="str">
        <x:v>Train Validation Test 三種考卷 machine learning responsible AI beginner tutorial Teachable</x:v>
      </x:c>
      <x:c r="I401" s="38" t="str">
        <x:v>https://www.youtube.com/results?search_query=Train+Validation+Test+%E4%B8%89%E7%A8%AE%E8%80%83%E5%8D%B7+machine+learning+responsible+AI+beginner+tutorial+Teachable</x:v>
      </x:c>
      <x:c r="J401" s="38" t="str">
        <x:v>課前暖身</x:v>
      </x:c>
      <x:c r="K401" s="38" t="str">
        <x:v>5–12 分鐘</x:v>
      </x:c>
      <x:c r="L401" s="38" t="str">
        <x:v>先建立直覺；看完能說出 3 個關鍵詞</x:v>
      </x:c>
      <x:c r="M401" s="38" t="str">
        <x:v>□ 未挑選</x:v>
      </x:c>
      <x:c r="N401" s="38" t="str"/>
      <x:c r="O401" s="38" t="str"/>
    </x:row>
    <x:row r="402">
      <x:c r="A402" s="38" t="n">
        <x:v>134</x:v>
      </x:c>
      <x:c r="B402" s="38" t="str">
        <x:v>第 3 年</x:v>
      </x:c>
      <x:c r="C402" s="38" t="str">
        <x:v>M09 機器學習、生成式 AI 與責任</x:v>
      </x:c>
      <x:c r="D402" s="38" t="n">
        <x:v>6</x:v>
      </x:c>
      <x:c r="E402" s="38" t="str">
        <x:v>Train／Validation／Test 三種考卷</x:v>
      </x:c>
      <x:c r="F402" s="38" t="n">
        <x:v>2</x:v>
      </x:c>
      <x:c r="G402" s="38" t="str">
        <x:v>跟做實作／專案導向</x:v>
      </x:c>
      <x:c r="H402" s="38" t="str">
        <x:v>Train Validation Test 三種考卷 理解不能用同一批資料教學又評分 hands on project for kids machine learning responsible AI</x:v>
      </x:c>
      <x:c r="I402" s="38" t="str">
        <x:v>https://www.youtube.com/results?search_query=Train+Validation+Test+%E4%B8%89%E7%A8%AE%E8%80%83%E5%8D%B7+%E7%90%86%E8%A7%A3%E4%B8%8D%E8%83%BD%E7%94%A8%E5%90%8C%E4%B8%80%E6%89%B9%E8%B3%87%E6%96%99%E6%95%99%E5%AD%B8%E5%8F%88%E8%A9%95%E5%88%86+hands+on+project+for+kids+machine+learning+responsible+AI</x:v>
      </x:c>
      <x:c r="J402" s="38" t="str">
        <x:v>課中實作參考</x:v>
      </x:c>
      <x:c r="K402" s="38" t="str">
        <x:v>8–20 分鐘</x:v>
      </x:c>
      <x:c r="L402" s="38" t="str">
        <x:v>優先找有畫面操作、步驟清楚、可暫停跟做的版本</x:v>
      </x:c>
      <x:c r="M402" s="38" t="str">
        <x:v>□ 未挑選</x:v>
      </x:c>
      <x:c r="N402" s="38" t="str"/>
      <x:c r="O402" s="38" t="str"/>
    </x:row>
    <x:row r="403">
      <x:c r="A403" s="38" t="n">
        <x:v>134</x:v>
      </x:c>
      <x:c r="B403" s="38" t="str">
        <x:v>第 3 年</x:v>
      </x:c>
      <x:c r="C403" s="38" t="str">
        <x:v>M09 機器學習、生成式 AI 與責任</x:v>
      </x:c>
      <x:c r="D403" s="38" t="n">
        <x:v>6</x:v>
      </x:c>
      <x:c r="E403" s="38" t="str">
        <x:v>Train／Validation／Test 三種考卷</x:v>
      </x:c>
      <x:c r="F403" s="38" t="n">
        <x:v>3</x:v>
      </x:c>
      <x:c r="G403" s="38" t="str">
        <x:v>中文延伸／倫理安全</x:v>
      </x:c>
      <x:c r="H403" s="38" t="str">
        <x:v>Train Validation Test 三種考卷 中文 教學 原理 安全 親子 machine learning responsible AI</x:v>
      </x:c>
      <x:c r="I403" s="38" t="str">
        <x:v>https://www.youtube.com/results?search_query=Train+Validation+Test+%E4%B8%89%E7%A8%AE%E8%80%83%E5%8D%B7+%E4%B8%AD%E6%96%87+%E6%95%99%E5%AD%B8+%E5%8E%9F%E7%90%86+%E5%AE%89%E5%85%A8+%E8%A6%AA%E5%AD%90+machine+learning+responsible+AI</x:v>
      </x:c>
      <x:c r="J403" s="38" t="str">
        <x:v>課後延伸／親子討論</x:v>
      </x:c>
      <x:c r="K403" s="38" t="str">
        <x:v>6–15 分鐘</x:v>
      </x:c>
      <x:c r="L403" s="38" t="str">
        <x:v>補充應用、倫理、安全或真實案例；父子各說一個觀點</x:v>
      </x:c>
      <x:c r="M403" s="38" t="str">
        <x:v>□ 未挑選</x:v>
      </x:c>
      <x:c r="N403" s="38" t="str"/>
      <x:c r="O403" s="38" t="str"/>
    </x:row>
    <x:row r="404">
      <x:c r="A404" s="38" t="n">
        <x:v>135</x:v>
      </x:c>
      <x:c r="B404" s="38" t="str">
        <x:v>第 3 年</x:v>
      </x:c>
      <x:c r="C404" s="38" t="str">
        <x:v>M09 機器學習、生成式 AI 與責任</x:v>
      </x:c>
      <x:c r="D404" s="38" t="n">
        <x:v>7</x:v>
      </x:c>
      <x:c r="E404" s="38" t="str">
        <x:v>混淆矩陣：錯在哪一類</x:v>
      </x:c>
      <x:c r="F404" s="38" t="n">
        <x:v>1</x:v>
      </x:c>
      <x:c r="G404" s="38" t="str">
        <x:v>概念入門／官方優先</x:v>
      </x:c>
      <x:c r="H404" s="38" t="str">
        <x:v>混淆矩陣 錯在哪一類 machine learning responsible AI beginner tutorial Teachable</x:v>
      </x:c>
      <x:c r="I404" s="38" t="str">
        <x:v>https://www.youtube.com/results?search_query=%E6%B7%B7%E6%B7%86%E7%9F%A9%E9%99%A3+%E9%8C%AF%E5%9C%A8%E5%93%AA%E4%B8%80%E9%A1%9E+machine+learning+responsible+AI+beginner+tutorial+Teachable</x:v>
      </x:c>
      <x:c r="J404" s="38" t="str">
        <x:v>課前暖身</x:v>
      </x:c>
      <x:c r="K404" s="38" t="str">
        <x:v>5–12 分鐘</x:v>
      </x:c>
      <x:c r="L404" s="38" t="str">
        <x:v>先建立直覺；看完能說出 3 個關鍵詞</x:v>
      </x:c>
      <x:c r="M404" s="38" t="str">
        <x:v>□ 未挑選</x:v>
      </x:c>
      <x:c r="N404" s="38" t="str"/>
      <x:c r="O404" s="38" t="str"/>
    </x:row>
    <x:row r="405">
      <x:c r="A405" s="38" t="n">
        <x:v>135</x:v>
      </x:c>
      <x:c r="B405" s="38" t="str">
        <x:v>第 3 年</x:v>
      </x:c>
      <x:c r="C405" s="38" t="str">
        <x:v>M09 機器學習、生成式 AI 與責任</x:v>
      </x:c>
      <x:c r="D405" s="38" t="n">
        <x:v>7</x:v>
      </x:c>
      <x:c r="E405" s="38" t="str">
        <x:v>混淆矩陣：錯在哪一類</x:v>
      </x:c>
      <x:c r="F405" s="38" t="n">
        <x:v>2</x:v>
      </x:c>
      <x:c r="G405" s="38" t="str">
        <x:v>跟做實作／專案導向</x:v>
      </x:c>
      <x:c r="H405" s="38" t="str">
        <x:v>混淆矩陣 錯在哪一類 理解 TP/FP/FN 的直覺與不同錯誤成本 hands on project for kids machine learning responsible AI</x:v>
      </x:c>
      <x:c r="I405" s="38" t="str">
        <x:v>https://www.youtube.com/results?search_query=%E6%B7%B7%E6%B7%86%E7%9F%A9%E9%99%A3+%E9%8C%AF%E5%9C%A8%E5%93%AA%E4%B8%80%E9%A1%9E+%E7%90%86%E8%A7%A3+TP%2FFP%2FFN+%E7%9A%84%E7%9B%B4%E8%A6%BA%E8%88%87%E4%B8%8D%E5%90%8C%E9%8C%AF%E8%AA%A4%E6%88%90%E6%9C%AC+hands+on+project+for+kids+machine+learning+responsible+AI</x:v>
      </x:c>
      <x:c r="J405" s="38" t="str">
        <x:v>課中實作參考</x:v>
      </x:c>
      <x:c r="K405" s="38" t="str">
        <x:v>8–20 分鐘</x:v>
      </x:c>
      <x:c r="L405" s="38" t="str">
        <x:v>優先找有畫面操作、步驟清楚、可暫停跟做的版本</x:v>
      </x:c>
      <x:c r="M405" s="38" t="str">
        <x:v>□ 未挑選</x:v>
      </x:c>
      <x:c r="N405" s="38" t="str"/>
      <x:c r="O405" s="38" t="str"/>
    </x:row>
    <x:row r="406">
      <x:c r="A406" s="38" t="n">
        <x:v>135</x:v>
      </x:c>
      <x:c r="B406" s="38" t="str">
        <x:v>第 3 年</x:v>
      </x:c>
      <x:c r="C406" s="38" t="str">
        <x:v>M09 機器學習、生成式 AI 與責任</x:v>
      </x:c>
      <x:c r="D406" s="38" t="n">
        <x:v>7</x:v>
      </x:c>
      <x:c r="E406" s="38" t="str">
        <x:v>混淆矩陣：錯在哪一類</x:v>
      </x:c>
      <x:c r="F406" s="38" t="n">
        <x:v>3</x:v>
      </x:c>
      <x:c r="G406" s="38" t="str">
        <x:v>中文延伸／倫理安全</x:v>
      </x:c>
      <x:c r="H406" s="38" t="str">
        <x:v>混淆矩陣 錯在哪一類 中文 教學 原理 安全 親子 machine learning responsible AI</x:v>
      </x:c>
      <x:c r="I406" s="38" t="str">
        <x:v>https://www.youtube.com/results?search_query=%E6%B7%B7%E6%B7%86%E7%9F%A9%E9%99%A3+%E9%8C%AF%E5%9C%A8%E5%93%AA%E4%B8%80%E9%A1%9E+%E4%B8%AD%E6%96%87+%E6%95%99%E5%AD%B8+%E5%8E%9F%E7%90%86+%E5%AE%89%E5%85%A8+%E8%A6%AA%E5%AD%90+machine+learning+responsible+AI</x:v>
      </x:c>
      <x:c r="J406" s="38" t="str">
        <x:v>課後延伸／親子討論</x:v>
      </x:c>
      <x:c r="K406" s="38" t="str">
        <x:v>6–15 分鐘</x:v>
      </x:c>
      <x:c r="L406" s="38" t="str">
        <x:v>補充應用、倫理、安全或真實案例；父子各說一個觀點</x:v>
      </x:c>
      <x:c r="M406" s="38" t="str">
        <x:v>□ 未挑選</x:v>
      </x:c>
      <x:c r="N406" s="38" t="str"/>
      <x:c r="O406" s="38" t="str"/>
    </x:row>
    <x:row r="407">
      <x:c r="A407" s="38" t="n">
        <x:v>136</x:v>
      </x:c>
      <x:c r="B407" s="38" t="str">
        <x:v>第 3 年</x:v>
      </x:c>
      <x:c r="C407" s="38" t="str">
        <x:v>M09 機器學習、生成式 AI 與責任</x:v>
      </x:c>
      <x:c r="D407" s="38" t="n">
        <x:v>8</x:v>
      </x:c>
      <x:c r="E407" s="38" t="str">
        <x:v>偏差與公平：誰被資料漏掉了</x:v>
      </x:c>
      <x:c r="F407" s="38" t="n">
        <x:v>1</x:v>
      </x:c>
      <x:c r="G407" s="38" t="str">
        <x:v>概念入門／官方優先</x:v>
      </x:c>
      <x:c r="H407" s="38" t="str">
        <x:v>偏差與公平 誰被資料漏掉了 machine learning responsible AI beginner tutorial Teachable</x:v>
      </x:c>
      <x:c r="I407" s="38" t="str">
        <x:v>https://www.youtube.com/results?search_query=%E5%81%8F%E5%B7%AE%E8%88%87%E5%85%AC%E5%B9%B3+%E8%AA%B0%E8%A2%AB%E8%B3%87%E6%96%99%E6%BC%8F%E6%8E%89%E4%BA%86+machine+learning+responsible+AI+beginner+tutorial+Teachable</x:v>
      </x:c>
      <x:c r="J407" s="38" t="str">
        <x:v>課前暖身</x:v>
      </x:c>
      <x:c r="K407" s="38" t="str">
        <x:v>5–12 分鐘</x:v>
      </x:c>
      <x:c r="L407" s="38" t="str">
        <x:v>先建立直覺；看完能說出 3 個關鍵詞</x:v>
      </x:c>
      <x:c r="M407" s="38" t="str">
        <x:v>□ 未挑選</x:v>
      </x:c>
      <x:c r="N407" s="38" t="str"/>
      <x:c r="O407" s="38" t="str"/>
    </x:row>
    <x:row r="408">
      <x:c r="A408" s="38" t="n">
        <x:v>136</x:v>
      </x:c>
      <x:c r="B408" s="38" t="str">
        <x:v>第 3 年</x:v>
      </x:c>
      <x:c r="C408" s="38" t="str">
        <x:v>M09 機器學習、生成式 AI 與責任</x:v>
      </x:c>
      <x:c r="D408" s="38" t="n">
        <x:v>8</x:v>
      </x:c>
      <x:c r="E408" s="38" t="str">
        <x:v>偏差與公平：誰被資料漏掉了</x:v>
      </x:c>
      <x:c r="F408" s="38" t="n">
        <x:v>2</x:v>
      </x:c>
      <x:c r="G408" s="38" t="str">
        <x:v>跟做實作／專案導向</x:v>
      </x:c>
      <x:c r="H408" s="38" t="str">
        <x:v>偏差與公平 誰被資料漏掉了 辨識代表性不足、標籤偏見與部署情境差異 hands on project for kids machine learning responsible AI</x:v>
      </x:c>
      <x:c r="I408" s="38" t="str">
        <x:v>https://www.youtube.com/results?search_query=%E5%81%8F%E5%B7%AE%E8%88%87%E5%85%AC%E5%B9%B3+%E8%AA%B0%E8%A2%AB%E8%B3%87%E6%96%99%E6%BC%8F%E6%8E%89%E4%BA%86+%E8%BE%A8%E8%AD%98%E4%BB%A3%E8%A1%A8%E6%80%A7%E4%B8%8D%E8%B6%B3%E3%80%81%E6%A8%99%E7%B1%A4%E5%81%8F%E8%A6%8B%E8%88%87%E9%83%A8%E7%BD%B2%E6%83%85%E5%A2%83%E5%B7%AE%E7%95%B0+hands+on+project+for+kids+machine+learning+responsible+AI</x:v>
      </x:c>
      <x:c r="J408" s="38" t="str">
        <x:v>課中實作參考</x:v>
      </x:c>
      <x:c r="K408" s="38" t="str">
        <x:v>8–20 分鐘</x:v>
      </x:c>
      <x:c r="L408" s="38" t="str">
        <x:v>優先找有畫面操作、步驟清楚、可暫停跟做的版本</x:v>
      </x:c>
      <x:c r="M408" s="38" t="str">
        <x:v>□ 未挑選</x:v>
      </x:c>
      <x:c r="N408" s="38" t="str"/>
      <x:c r="O408" s="38" t="str"/>
    </x:row>
    <x:row r="409">
      <x:c r="A409" s="38" t="n">
        <x:v>136</x:v>
      </x:c>
      <x:c r="B409" s="38" t="str">
        <x:v>第 3 年</x:v>
      </x:c>
      <x:c r="C409" s="38" t="str">
        <x:v>M09 機器學習、生成式 AI 與責任</x:v>
      </x:c>
      <x:c r="D409" s="38" t="n">
        <x:v>8</x:v>
      </x:c>
      <x:c r="E409" s="38" t="str">
        <x:v>偏差與公平：誰被資料漏掉了</x:v>
      </x:c>
      <x:c r="F409" s="38" t="n">
        <x:v>3</x:v>
      </x:c>
      <x:c r="G409" s="38" t="str">
        <x:v>中文延伸／倫理安全</x:v>
      </x:c>
      <x:c r="H409" s="38" t="str">
        <x:v>偏差與公平 誰被資料漏掉了 中文 教學 原理 安全 親子 machine learning responsible AI</x:v>
      </x:c>
      <x:c r="I409" s="38" t="str">
        <x:v>https://www.youtube.com/results?search_query=%E5%81%8F%E5%B7%AE%E8%88%87%E5%85%AC%E5%B9%B3+%E8%AA%B0%E8%A2%AB%E8%B3%87%E6%96%99%E6%BC%8F%E6%8E%89%E4%BA%86+%E4%B8%AD%E6%96%87+%E6%95%99%E5%AD%B8+%E5%8E%9F%E7%90%86+%E5%AE%89%E5%85%A8+%E8%A6%AA%E5%AD%90+machine+learning+responsible+AI</x:v>
      </x:c>
      <x:c r="J409" s="38" t="str">
        <x:v>課後延伸／親子討論</x:v>
      </x:c>
      <x:c r="K409" s="38" t="str">
        <x:v>6–15 分鐘</x:v>
      </x:c>
      <x:c r="L409" s="38" t="str">
        <x:v>補充應用、倫理、安全或真實案例；父子各說一個觀點</x:v>
      </x:c>
      <x:c r="M409" s="38" t="str">
        <x:v>□ 未挑選</x:v>
      </x:c>
      <x:c r="N409" s="38" t="str"/>
      <x:c r="O409" s="38" t="str"/>
    </x:row>
    <x:row r="410">
      <x:c r="A410" s="38" t="n">
        <x:v>137</x:v>
      </x:c>
      <x:c r="B410" s="38" t="str">
        <x:v>第 3 年</x:v>
      </x:c>
      <x:c r="C410" s="38" t="str">
        <x:v>M09 機器學習、生成式 AI 與責任</x:v>
      </x:c>
      <x:c r="D410" s="38" t="n">
        <x:v>9</x:v>
      </x:c>
      <x:c r="E410" s="38" t="str">
        <x:v>神經網路直覺：很多小判斷接起來</x:v>
      </x:c>
      <x:c r="F410" s="38" t="n">
        <x:v>1</x:v>
      </x:c>
      <x:c r="G410" s="38" t="str">
        <x:v>概念入門／官方優先</x:v>
      </x:c>
      <x:c r="H410" s="38" t="str">
        <x:v>神經網路直覺 很多小判斷接起來 machine learning responsible AI beginner tutorial Teachable</x:v>
      </x:c>
      <x:c r="I410" s="38" t="str">
        <x:v>https://www.youtube.com/results?search_query=%E7%A5%9E%E7%B6%93%E7%B6%B2%E8%B7%AF%E7%9B%B4%E8%A6%BA+%E5%BE%88%E5%A4%9A%E5%B0%8F%E5%88%A4%E6%96%B7%E6%8E%A5%E8%B5%B7%E4%BE%86+machine+learning+responsible+AI+beginner+tutorial+Teachable</x:v>
      </x:c>
      <x:c r="J410" s="38" t="str">
        <x:v>課前暖身</x:v>
      </x:c>
      <x:c r="K410" s="38" t="str">
        <x:v>5–12 分鐘</x:v>
      </x:c>
      <x:c r="L410" s="38" t="str">
        <x:v>先建立直覺；看完能說出 3 個關鍵詞</x:v>
      </x:c>
      <x:c r="M410" s="38" t="str">
        <x:v>□ 未挑選</x:v>
      </x:c>
      <x:c r="N410" s="38" t="str"/>
      <x:c r="O410" s="38" t="str"/>
    </x:row>
    <x:row r="411">
      <x:c r="A411" s="38" t="n">
        <x:v>137</x:v>
      </x:c>
      <x:c r="B411" s="38" t="str">
        <x:v>第 3 年</x:v>
      </x:c>
      <x:c r="C411" s="38" t="str">
        <x:v>M09 機器學習、生成式 AI 與責任</x:v>
      </x:c>
      <x:c r="D411" s="38" t="n">
        <x:v>9</x:v>
      </x:c>
      <x:c r="E411" s="38" t="str">
        <x:v>神經網路直覺：很多小判斷接起來</x:v>
      </x:c>
      <x:c r="F411" s="38" t="n">
        <x:v>2</x:v>
      </x:c>
      <x:c r="G411" s="38" t="str">
        <x:v>跟做實作／專案導向</x:v>
      </x:c>
      <x:c r="H411" s="38" t="str">
        <x:v>神經網路直覺 很多小判斷接起來 理解輸入、權重、隱藏層、輸出與訓練的概念 hands on project for kids machine learning responsible AI</x:v>
      </x:c>
      <x:c r="I411" s="38" t="str">
        <x:v>https://www.youtube.com/results?search_query=%E7%A5%9E%E7%B6%93%E7%B6%B2%E8%B7%AF%E7%9B%B4%E8%A6%BA+%E5%BE%88%E5%A4%9A%E5%B0%8F%E5%88%A4%E6%96%B7%E6%8E%A5%E8%B5%B7%E4%BE%86+%E7%90%86%E8%A7%A3%E8%BC%B8%E5%85%A5%E3%80%81%E6%AC%8A%E9%87%8D%E3%80%81%E9%9A%B1%E8%97%8F%E5%B1%A4%E3%80%81%E8%BC%B8%E5%87%BA%E8%88%87%E8%A8%93%E7%B7%B4%E7%9A%84%E6%A6%82%E5%BF%B5+hands+on+project+for+kids+machine+learning+responsible+AI</x:v>
      </x:c>
      <x:c r="J411" s="38" t="str">
        <x:v>課中實作參考</x:v>
      </x:c>
      <x:c r="K411" s="38" t="str">
        <x:v>8–20 分鐘</x:v>
      </x:c>
      <x:c r="L411" s="38" t="str">
        <x:v>優先找有畫面操作、步驟清楚、可暫停跟做的版本</x:v>
      </x:c>
      <x:c r="M411" s="38" t="str">
        <x:v>□ 未挑選</x:v>
      </x:c>
      <x:c r="N411" s="38" t="str"/>
      <x:c r="O411" s="38" t="str"/>
    </x:row>
    <x:row r="412">
      <x:c r="A412" s="38" t="n">
        <x:v>137</x:v>
      </x:c>
      <x:c r="B412" s="38" t="str">
        <x:v>第 3 年</x:v>
      </x:c>
      <x:c r="C412" s="38" t="str">
        <x:v>M09 機器學習、生成式 AI 與責任</x:v>
      </x:c>
      <x:c r="D412" s="38" t="n">
        <x:v>9</x:v>
      </x:c>
      <x:c r="E412" s="38" t="str">
        <x:v>神經網路直覺：很多小判斷接起來</x:v>
      </x:c>
      <x:c r="F412" s="38" t="n">
        <x:v>3</x:v>
      </x:c>
      <x:c r="G412" s="38" t="str">
        <x:v>中文延伸／倫理安全</x:v>
      </x:c>
      <x:c r="H412" s="38" t="str">
        <x:v>神經網路直覺 很多小判斷接起來 中文 教學 原理 安全 親子 machine learning responsible AI</x:v>
      </x:c>
      <x:c r="I412" s="38" t="str">
        <x:v>https://www.youtube.com/results?search_query=%E7%A5%9E%E7%B6%93%E7%B6%B2%E8%B7%AF%E7%9B%B4%E8%A6%BA+%E5%BE%88%E5%A4%9A%E5%B0%8F%E5%88%A4%E6%96%B7%E6%8E%A5%E8%B5%B7%E4%BE%86+%E4%B8%AD%E6%96%87+%E6%95%99%E5%AD%B8+%E5%8E%9F%E7%90%86+%E5%AE%89%E5%85%A8+%E8%A6%AA%E5%AD%90+machine+learning+responsible+AI</x:v>
      </x:c>
      <x:c r="J412" s="38" t="str">
        <x:v>課後延伸／親子討論</x:v>
      </x:c>
      <x:c r="K412" s="38" t="str">
        <x:v>6–15 分鐘</x:v>
      </x:c>
      <x:c r="L412" s="38" t="str">
        <x:v>補充應用、倫理、安全或真實案例；父子各說一個觀點</x:v>
      </x:c>
      <x:c r="M412" s="38" t="str">
        <x:v>□ 未挑選</x:v>
      </x:c>
      <x:c r="N412" s="38" t="str"/>
      <x:c r="O412" s="38" t="str"/>
    </x:row>
    <x:row r="413">
      <x:c r="A413" s="38" t="n">
        <x:v>138</x:v>
      </x:c>
      <x:c r="B413" s="38" t="str">
        <x:v>第 3 年</x:v>
      </x:c>
      <x:c r="C413" s="38" t="str">
        <x:v>M09 機器學習、生成式 AI 與責任</x:v>
      </x:c>
      <x:c r="D413" s="38" t="n">
        <x:v>10</x:v>
      </x:c>
      <x:c r="E413" s="38" t="str">
        <x:v>向量與 Embedding：把意思放進地圖</x:v>
      </x:c>
      <x:c r="F413" s="38" t="n">
        <x:v>1</x:v>
      </x:c>
      <x:c r="G413" s="38" t="str">
        <x:v>概念入門／官方優先</x:v>
      </x:c>
      <x:c r="H413" s="38" t="str">
        <x:v>向量與 Embedding 把意思放進地圖 machine learning responsible AI beginner tutorial Teachable</x:v>
      </x:c>
      <x:c r="I413" s="38" t="str">
        <x:v>https://www.youtube.com/results?search_query=%E5%90%91%E9%87%8F%E8%88%87+Embedding+%E6%8A%8A%E6%84%8F%E6%80%9D%E6%94%BE%E9%80%B2%E5%9C%B0%E5%9C%96+machine+learning+responsible+AI+beginner+tutorial+Teachable</x:v>
      </x:c>
      <x:c r="J413" s="38" t="str">
        <x:v>課前暖身</x:v>
      </x:c>
      <x:c r="K413" s="38" t="str">
        <x:v>5–12 分鐘</x:v>
      </x:c>
      <x:c r="L413" s="38" t="str">
        <x:v>先建立直覺；看完能說出 3 個關鍵詞</x:v>
      </x:c>
      <x:c r="M413" s="38" t="str">
        <x:v>□ 未挑選</x:v>
      </x:c>
      <x:c r="N413" s="38" t="str"/>
      <x:c r="O413" s="38" t="str"/>
    </x:row>
    <x:row r="414">
      <x:c r="A414" s="38" t="n">
        <x:v>138</x:v>
      </x:c>
      <x:c r="B414" s="38" t="str">
        <x:v>第 3 年</x:v>
      </x:c>
      <x:c r="C414" s="38" t="str">
        <x:v>M09 機器學習、生成式 AI 與責任</x:v>
      </x:c>
      <x:c r="D414" s="38" t="n">
        <x:v>10</x:v>
      </x:c>
      <x:c r="E414" s="38" t="str">
        <x:v>向量與 Embedding：把意思放進地圖</x:v>
      </x:c>
      <x:c r="F414" s="38" t="n">
        <x:v>2</x:v>
      </x:c>
      <x:c r="G414" s="38" t="str">
        <x:v>跟做實作／專案導向</x:v>
      </x:c>
      <x:c r="H414" s="38" t="str">
        <x:v>向量與 Embedding 把意思放進地圖 用距離表示相似性，理解語意搜尋直覺 hands on project for kids machine learning responsible AI</x:v>
      </x:c>
      <x:c r="I414" s="38" t="str">
        <x:v>https://www.youtube.com/results?search_query=%E5%90%91%E9%87%8F%E8%88%87+Embedding+%E6%8A%8A%E6%84%8F%E6%80%9D%E6%94%BE%E9%80%B2%E5%9C%B0%E5%9C%96+%E7%94%A8%E8%B7%9D%E9%9B%A2%E8%A1%A8%E7%A4%BA%E7%9B%B8%E4%BC%BC%E6%80%A7%EF%BC%8C%E7%90%86%E8%A7%A3%E8%AA%9E%E6%84%8F%E6%90%9C%E5%B0%8B%E7%9B%B4%E8%A6%BA+hands+on+project+for+kids+machine+learning+responsible+AI</x:v>
      </x:c>
      <x:c r="J414" s="38" t="str">
        <x:v>課中實作參考</x:v>
      </x:c>
      <x:c r="K414" s="38" t="str">
        <x:v>8–20 分鐘</x:v>
      </x:c>
      <x:c r="L414" s="38" t="str">
        <x:v>優先找有畫面操作、步驟清楚、可暫停跟做的版本</x:v>
      </x:c>
      <x:c r="M414" s="38" t="str">
        <x:v>□ 未挑選</x:v>
      </x:c>
      <x:c r="N414" s="38" t="str"/>
      <x:c r="O414" s="38" t="str"/>
    </x:row>
    <x:row r="415">
      <x:c r="A415" s="38" t="n">
        <x:v>138</x:v>
      </x:c>
      <x:c r="B415" s="38" t="str">
        <x:v>第 3 年</x:v>
      </x:c>
      <x:c r="C415" s="38" t="str">
        <x:v>M09 機器學習、生成式 AI 與責任</x:v>
      </x:c>
      <x:c r="D415" s="38" t="n">
        <x:v>10</x:v>
      </x:c>
      <x:c r="E415" s="38" t="str">
        <x:v>向量與 Embedding：把意思放進地圖</x:v>
      </x:c>
      <x:c r="F415" s="38" t="n">
        <x:v>3</x:v>
      </x:c>
      <x:c r="G415" s="38" t="str">
        <x:v>中文延伸／倫理安全</x:v>
      </x:c>
      <x:c r="H415" s="38" t="str">
        <x:v>向量與 Embedding 把意思放進地圖 中文 教學 原理 安全 親子 machine learning responsible AI</x:v>
      </x:c>
      <x:c r="I415" s="38" t="str">
        <x:v>https://www.youtube.com/results?search_query=%E5%90%91%E9%87%8F%E8%88%87+Embedding+%E6%8A%8A%E6%84%8F%E6%80%9D%E6%94%BE%E9%80%B2%E5%9C%B0%E5%9C%96+%E4%B8%AD%E6%96%87+%E6%95%99%E5%AD%B8+%E5%8E%9F%E7%90%86+%E5%AE%89%E5%85%A8+%E8%A6%AA%E5%AD%90+machine+learning+responsible+AI</x:v>
      </x:c>
      <x:c r="J415" s="38" t="str">
        <x:v>課後延伸／親子討論</x:v>
      </x:c>
      <x:c r="K415" s="38" t="str">
        <x:v>6–15 分鐘</x:v>
      </x:c>
      <x:c r="L415" s="38" t="str">
        <x:v>補充應用、倫理、安全或真實案例；父子各說一個觀點</x:v>
      </x:c>
      <x:c r="M415" s="38" t="str">
        <x:v>□ 未挑選</x:v>
      </x:c>
      <x:c r="N415" s="38" t="str"/>
      <x:c r="O415" s="38" t="str"/>
    </x:row>
    <x:row r="416">
      <x:c r="A416" s="38" t="n">
        <x:v>139</x:v>
      </x:c>
      <x:c r="B416" s="38" t="str">
        <x:v>第 3 年</x:v>
      </x:c>
      <x:c r="C416" s="38" t="str">
        <x:v>M09 機器學習、生成式 AI 與責任</x:v>
      </x:c>
      <x:c r="D416" s="38" t="n">
        <x:v>11</x:v>
      </x:c>
      <x:c r="E416" s="38" t="str">
        <x:v>LLM：下一個 Token 預測機</x:v>
      </x:c>
      <x:c r="F416" s="38" t="n">
        <x:v>1</x:v>
      </x:c>
      <x:c r="G416" s="38" t="str">
        <x:v>概念入門／官方優先</x:v>
      </x:c>
      <x:c r="H416" s="38" t="str">
        <x:v>LLM 下一個 Token 預測機 machine learning responsible AI beginner tutorial Teachable</x:v>
      </x:c>
      <x:c r="I416" s="38" t="str">
        <x:v>https://www.youtube.com/results?search_query=LLM+%E4%B8%8B%E4%B8%80%E5%80%8B+Token+%E9%A0%90%E6%B8%AC%E6%A9%9F+machine+learning+responsible+AI+beginner+tutorial+Teachable</x:v>
      </x:c>
      <x:c r="J416" s="38" t="str">
        <x:v>課前暖身</x:v>
      </x:c>
      <x:c r="K416" s="38" t="str">
        <x:v>5–12 分鐘</x:v>
      </x:c>
      <x:c r="L416" s="38" t="str">
        <x:v>先建立直覺；看完能說出 3 個關鍵詞</x:v>
      </x:c>
      <x:c r="M416" s="38" t="str">
        <x:v>□ 未挑選</x:v>
      </x:c>
      <x:c r="N416" s="38" t="str"/>
      <x:c r="O416" s="38" t="str"/>
    </x:row>
    <x:row r="417">
      <x:c r="A417" s="38" t="n">
        <x:v>139</x:v>
      </x:c>
      <x:c r="B417" s="38" t="str">
        <x:v>第 3 年</x:v>
      </x:c>
      <x:c r="C417" s="38" t="str">
        <x:v>M09 機器學習、生成式 AI 與責任</x:v>
      </x:c>
      <x:c r="D417" s="38" t="n">
        <x:v>11</x:v>
      </x:c>
      <x:c r="E417" s="38" t="str">
        <x:v>LLM：下一個 Token 預測機</x:v>
      </x:c>
      <x:c r="F417" s="38" t="n">
        <x:v>2</x:v>
      </x:c>
      <x:c r="G417" s="38" t="str">
        <x:v>跟做實作／專案導向</x:v>
      </x:c>
      <x:c r="H417" s="38" t="str">
        <x:v>LLM 下一個 Token 預測機 理解 token、上下文、機率生成與非資料庫式回答 hands on project for kids machine learning responsible</x:v>
      </x:c>
      <x:c r="I417" s="38" t="str">
        <x:v>https://www.youtube.com/results?search_query=LLM+%E4%B8%8B%E4%B8%80%E5%80%8B+Token+%E9%A0%90%E6%B8%AC%E6%A9%9F+%E7%90%86%E8%A7%A3+token%E3%80%81%E4%B8%8A%E4%B8%8B%E6%96%87%E3%80%81%E6%A9%9F%E7%8E%87%E7%94%9F%E6%88%90%E8%88%87%E9%9D%9E%E8%B3%87%E6%96%99%E5%BA%AB%E5%BC%8F%E5%9B%9E%E7%AD%94+hands+on+project+for+kids+machine+learning+responsible+AI</x:v>
      </x:c>
      <x:c r="J417" s="38" t="str">
        <x:v>課中實作參考</x:v>
      </x:c>
      <x:c r="K417" s="38" t="str">
        <x:v>8–20 分鐘</x:v>
      </x:c>
      <x:c r="L417" s="38" t="str">
        <x:v>優先找有畫面操作、步驟清楚、可暫停跟做的版本</x:v>
      </x:c>
      <x:c r="M417" s="38" t="str">
        <x:v>□ 未挑選</x:v>
      </x:c>
      <x:c r="N417" s="38" t="str"/>
      <x:c r="O417" s="38" t="str"/>
    </x:row>
    <x:row r="418">
      <x:c r="A418" s="38" t="n">
        <x:v>139</x:v>
      </x:c>
      <x:c r="B418" s="38" t="str">
        <x:v>第 3 年</x:v>
      </x:c>
      <x:c r="C418" s="38" t="str">
        <x:v>M09 機器學習、生成式 AI 與責任</x:v>
      </x:c>
      <x:c r="D418" s="38" t="n">
        <x:v>11</x:v>
      </x:c>
      <x:c r="E418" s="38" t="str">
        <x:v>LLM：下一個 Token 預測機</x:v>
      </x:c>
      <x:c r="F418" s="38" t="n">
        <x:v>3</x:v>
      </x:c>
      <x:c r="G418" s="38" t="str">
        <x:v>中文延伸／倫理安全</x:v>
      </x:c>
      <x:c r="H418" s="38" t="str">
        <x:v>LLM 下一個 Token 預測機 中文 教學 原理 安全 親子 machine learning responsible AI</x:v>
      </x:c>
      <x:c r="I418" s="38" t="str">
        <x:v>https://www.youtube.com/results?search_query=LLM+%E4%B8%8B%E4%B8%80%E5%80%8B+Token+%E9%A0%90%E6%B8%AC%E6%A9%9F+%E4%B8%AD%E6%96%87+%E6%95%99%E5%AD%B8+%E5%8E%9F%E7%90%86+%E5%AE%89%E5%85%A8+%E8%A6%AA%E5%AD%90+machine+learning+responsible+AI</x:v>
      </x:c>
      <x:c r="J418" s="38" t="str">
        <x:v>課後延伸／親子討論</x:v>
      </x:c>
      <x:c r="K418" s="38" t="str">
        <x:v>6–15 分鐘</x:v>
      </x:c>
      <x:c r="L418" s="38" t="str">
        <x:v>補充應用、倫理、安全或真實案例；父子各說一個觀點</x:v>
      </x:c>
      <x:c r="M418" s="38" t="str">
        <x:v>□ 未挑選</x:v>
      </x:c>
      <x:c r="N418" s="38" t="str"/>
      <x:c r="O418" s="38" t="str"/>
    </x:row>
    <x:row r="419">
      <x:c r="A419" s="38" t="n">
        <x:v>140</x:v>
      </x:c>
      <x:c r="B419" s="38" t="str">
        <x:v>第 3 年</x:v>
      </x:c>
      <x:c r="C419" s="38" t="str">
        <x:v>M09 機器學習、生成式 AI 與責任</x:v>
      </x:c>
      <x:c r="D419" s="38" t="n">
        <x:v>12</x:v>
      </x:c>
      <x:c r="E419" s="38" t="str">
        <x:v>RAG：先找資料再回答</x:v>
      </x:c>
      <x:c r="F419" s="38" t="n">
        <x:v>1</x:v>
      </x:c>
      <x:c r="G419" s="38" t="str">
        <x:v>概念入門／官方優先</x:v>
      </x:c>
      <x:c r="H419" s="38" t="str">
        <x:v>RAG 先找資料再回答 machine learning responsible AI beginner tutorial Teachable</x:v>
      </x:c>
      <x:c r="I419" s="38" t="str">
        <x:v>https://www.youtube.com/results?search_query=RAG+%E5%85%88%E6%89%BE%E8%B3%87%E6%96%99%E5%86%8D%E5%9B%9E%E7%AD%94+machine+learning+responsible+AI+beginner+tutorial+Teachable</x:v>
      </x:c>
      <x:c r="J419" s="38" t="str">
        <x:v>課前暖身</x:v>
      </x:c>
      <x:c r="K419" s="38" t="str">
        <x:v>5–12 分鐘</x:v>
      </x:c>
      <x:c r="L419" s="38" t="str">
        <x:v>先建立直覺；看完能說出 3 個關鍵詞</x:v>
      </x:c>
      <x:c r="M419" s="38" t="str">
        <x:v>□ 未挑選</x:v>
      </x:c>
      <x:c r="N419" s="38" t="str"/>
      <x:c r="O419" s="38" t="str"/>
    </x:row>
    <x:row r="420">
      <x:c r="A420" s="38" t="n">
        <x:v>140</x:v>
      </x:c>
      <x:c r="B420" s="38" t="str">
        <x:v>第 3 年</x:v>
      </x:c>
      <x:c r="C420" s="38" t="str">
        <x:v>M09 機器學習、生成式 AI 與責任</x:v>
      </x:c>
      <x:c r="D420" s="38" t="n">
        <x:v>12</x:v>
      </x:c>
      <x:c r="E420" s="38" t="str">
        <x:v>RAG：先找資料再回答</x:v>
      </x:c>
      <x:c r="F420" s="38" t="n">
        <x:v>2</x:v>
      </x:c>
      <x:c r="G420" s="38" t="str">
        <x:v>跟做實作／專案導向</x:v>
      </x:c>
      <x:c r="H420" s="38" t="str">
        <x:v>RAG 先找資料再回答 理解檢索、來源片段、回答與引用的流程 hands on project for kids machine learning responsible AI</x:v>
      </x:c>
      <x:c r="I420" s="38" t="str">
        <x:v>https://www.youtube.com/results?search_query=RAG+%E5%85%88%E6%89%BE%E8%B3%87%E6%96%99%E5%86%8D%E5%9B%9E%E7%AD%94+%E7%90%86%E8%A7%A3%E6%AA%A2%E7%B4%A2%E3%80%81%E4%BE%86%E6%BA%90%E7%89%87%E6%AE%B5%E3%80%81%E5%9B%9E%E7%AD%94%E8%88%87%E5%BC%95%E7%94%A8%E7%9A%84%E6%B5%81%E7%A8%8B+hands+on+project+for+kids+machine+learning+responsible+AI</x:v>
      </x:c>
      <x:c r="J420" s="38" t="str">
        <x:v>課中實作參考</x:v>
      </x:c>
      <x:c r="K420" s="38" t="str">
        <x:v>8–20 分鐘</x:v>
      </x:c>
      <x:c r="L420" s="38" t="str">
        <x:v>優先找有畫面操作、步驟清楚、可暫停跟做的版本</x:v>
      </x:c>
      <x:c r="M420" s="38" t="str">
        <x:v>□ 未挑選</x:v>
      </x:c>
      <x:c r="N420" s="38" t="str"/>
      <x:c r="O420" s="38" t="str"/>
    </x:row>
    <x:row r="421">
      <x:c r="A421" s="38" t="n">
        <x:v>140</x:v>
      </x:c>
      <x:c r="B421" s="38" t="str">
        <x:v>第 3 年</x:v>
      </x:c>
      <x:c r="C421" s="38" t="str">
        <x:v>M09 機器學習、生成式 AI 與責任</x:v>
      </x:c>
      <x:c r="D421" s="38" t="n">
        <x:v>12</x:v>
      </x:c>
      <x:c r="E421" s="38" t="str">
        <x:v>RAG：先找資料再回答</x:v>
      </x:c>
      <x:c r="F421" s="38" t="n">
        <x:v>3</x:v>
      </x:c>
      <x:c r="G421" s="38" t="str">
        <x:v>中文延伸／倫理安全</x:v>
      </x:c>
      <x:c r="H421" s="38" t="str">
        <x:v>RAG 先找資料再回答 中文 教學 原理 安全 親子 machine learning responsible AI</x:v>
      </x:c>
      <x:c r="I421" s="38" t="str">
        <x:v>https://www.youtube.com/results?search_query=RAG+%E5%85%88%E6%89%BE%E8%B3%87%E6%96%99%E5%86%8D%E5%9B%9E%E7%AD%94+%E4%B8%AD%E6%96%87+%E6%95%99%E5%AD%B8+%E5%8E%9F%E7%90%86+%E5%AE%89%E5%85%A8+%E8%A6%AA%E5%AD%90+machine+learning+responsible+AI</x:v>
      </x:c>
      <x:c r="J421" s="38" t="str">
        <x:v>課後延伸／親子討論</x:v>
      </x:c>
      <x:c r="K421" s="38" t="str">
        <x:v>6–15 分鐘</x:v>
      </x:c>
      <x:c r="L421" s="38" t="str">
        <x:v>補充應用、倫理、安全或真實案例；父子各說一個觀點</x:v>
      </x:c>
      <x:c r="M421" s="38" t="str">
        <x:v>□ 未挑選</x:v>
      </x:c>
      <x:c r="N421" s="38" t="str"/>
      <x:c r="O421" s="38" t="str"/>
    </x:row>
    <x:row r="422">
      <x:c r="A422" s="38" t="n">
        <x:v>141</x:v>
      </x:c>
      <x:c r="B422" s="38" t="str">
        <x:v>第 3 年</x:v>
      </x:c>
      <x:c r="C422" s="38" t="str">
        <x:v>M09 機器學習、生成式 AI 與責任</x:v>
      </x:c>
      <x:c r="D422" s="38" t="n">
        <x:v>13</x:v>
      </x:c>
      <x:c r="E422" s="38" t="str">
        <x:v>Prompt 與 Evals：答案好不好要先定義</x:v>
      </x:c>
      <x:c r="F422" s="38" t="n">
        <x:v>1</x:v>
      </x:c>
      <x:c r="G422" s="38" t="str">
        <x:v>概念入門／官方優先</x:v>
      </x:c>
      <x:c r="H422" s="38" t="str">
        <x:v>Prompt 與 Evals 答案好不好要先定義 machine learning responsible AI beginner tutorial Teachable</x:v>
      </x:c>
      <x:c r="I422" s="38" t="str">
        <x:v>https://www.youtube.com/results?search_query=Prompt+%E8%88%87+Evals+%E7%AD%94%E6%A1%88%E5%A5%BD%E4%B8%8D%E5%A5%BD%E8%A6%81%E5%85%88%E5%AE%9A%E7%BE%A9+machine+learning+responsible+AI+beginner+tutorial+Teachable</x:v>
      </x:c>
      <x:c r="J422" s="38" t="str">
        <x:v>課前暖身</x:v>
      </x:c>
      <x:c r="K422" s="38" t="str">
        <x:v>5–12 分鐘</x:v>
      </x:c>
      <x:c r="L422" s="38" t="str">
        <x:v>先建立直覺；看完能說出 3 個關鍵詞</x:v>
      </x:c>
      <x:c r="M422" s="38" t="str">
        <x:v>□ 未挑選</x:v>
      </x:c>
      <x:c r="N422" s="38" t="str"/>
      <x:c r="O422" s="38" t="str"/>
    </x:row>
    <x:row r="423">
      <x:c r="A423" s="38" t="n">
        <x:v>141</x:v>
      </x:c>
      <x:c r="B423" s="38" t="str">
        <x:v>第 3 年</x:v>
      </x:c>
      <x:c r="C423" s="38" t="str">
        <x:v>M09 機器學習、生成式 AI 與責任</x:v>
      </x:c>
      <x:c r="D423" s="38" t="n">
        <x:v>13</x:v>
      </x:c>
      <x:c r="E423" s="38" t="str">
        <x:v>Prompt 與 Evals：答案好不好要先定義</x:v>
      </x:c>
      <x:c r="F423" s="38" t="n">
        <x:v>2</x:v>
      </x:c>
      <x:c r="G423" s="38" t="str">
        <x:v>跟做實作／專案導向</x:v>
      </x:c>
      <x:c r="H423" s="38" t="str">
        <x:v>Prompt 與 Evals 答案好不好要先定義 建立輸入範例、評分標準與回歸測試 hands on project for kids machine learning responsible AI</x:v>
      </x:c>
      <x:c r="I423" s="38" t="str">
        <x:v>https://www.youtube.com/results?search_query=Prompt+%E8%88%87+Evals+%E7%AD%94%E6%A1%88%E5%A5%BD%E4%B8%8D%E5%A5%BD%E8%A6%81%E5%85%88%E5%AE%9A%E7%BE%A9+%E5%BB%BA%E7%AB%8B%E8%BC%B8%E5%85%A5%E7%AF%84%E4%BE%8B%E3%80%81%E8%A9%95%E5%88%86%E6%A8%99%E6%BA%96%E8%88%87%E5%9B%9E%E6%AD%B8%E6%B8%AC%E8%A9%A6+hands+on+project+for+kids+machine+learning+responsible+AI</x:v>
      </x:c>
      <x:c r="J423" s="38" t="str">
        <x:v>課中實作參考</x:v>
      </x:c>
      <x:c r="K423" s="38" t="str">
        <x:v>8–20 分鐘</x:v>
      </x:c>
      <x:c r="L423" s="38" t="str">
        <x:v>優先找有畫面操作、步驟清楚、可暫停跟做的版本</x:v>
      </x:c>
      <x:c r="M423" s="38" t="str">
        <x:v>□ 未挑選</x:v>
      </x:c>
      <x:c r="N423" s="38" t="str"/>
      <x:c r="O423" s="38" t="str"/>
    </x:row>
    <x:row r="424">
      <x:c r="A424" s="38" t="n">
        <x:v>141</x:v>
      </x:c>
      <x:c r="B424" s="38" t="str">
        <x:v>第 3 年</x:v>
      </x:c>
      <x:c r="C424" s="38" t="str">
        <x:v>M09 機器學習、生成式 AI 與責任</x:v>
      </x:c>
      <x:c r="D424" s="38" t="n">
        <x:v>13</x:v>
      </x:c>
      <x:c r="E424" s="38" t="str">
        <x:v>Prompt 與 Evals：答案好不好要先定義</x:v>
      </x:c>
      <x:c r="F424" s="38" t="n">
        <x:v>3</x:v>
      </x:c>
      <x:c r="G424" s="38" t="str">
        <x:v>中文延伸／倫理安全</x:v>
      </x:c>
      <x:c r="H424" s="38" t="str">
        <x:v>Prompt 與 Evals 答案好不好要先定義 中文 教學 原理 安全 親子 machine learning responsible AI</x:v>
      </x:c>
      <x:c r="I424" s="38" t="str">
        <x:v>https://www.youtube.com/results?search_query=Prompt+%E8%88%87+Evals+%E7%AD%94%E6%A1%88%E5%A5%BD%E4%B8%8D%E5%A5%BD%E8%A6%81%E5%85%88%E5%AE%9A%E7%BE%A9+%E4%B8%AD%E6%96%87+%E6%95%99%E5%AD%B8+%E5%8E%9F%E7%90%86+%E5%AE%89%E5%85%A8+%E8%A6%AA%E5%AD%90+machine+learning+responsible+AI</x:v>
      </x:c>
      <x:c r="J424" s="38" t="str">
        <x:v>課後延伸／親子討論</x:v>
      </x:c>
      <x:c r="K424" s="38" t="str">
        <x:v>6–15 分鐘</x:v>
      </x:c>
      <x:c r="L424" s="38" t="str">
        <x:v>補充應用、倫理、安全或真實案例；父子各說一個觀點</x:v>
      </x:c>
      <x:c r="M424" s="38" t="str">
        <x:v>□ 未挑選</x:v>
      </x:c>
      <x:c r="N424" s="38" t="str"/>
      <x:c r="O424" s="38" t="str"/>
    </x:row>
    <x:row r="425">
      <x:c r="A425" s="38" t="n">
        <x:v>142</x:v>
      </x:c>
      <x:c r="B425" s="38" t="str">
        <x:v>第 3 年</x:v>
      </x:c>
      <x:c r="C425" s="38" t="str">
        <x:v>M09 機器學習、生成式 AI 與責任</x:v>
      </x:c>
      <x:c r="D425" s="38" t="n">
        <x:v>14</x:v>
      </x:c>
      <x:c r="E425" s="38" t="str">
        <x:v>AI 倫理、隱私與責任邊界</x:v>
      </x:c>
      <x:c r="F425" s="38" t="n">
        <x:v>1</x:v>
      </x:c>
      <x:c r="G425" s="38" t="str">
        <x:v>概念入門／官方優先</x:v>
      </x:c>
      <x:c r="H425" s="38" t="str">
        <x:v>AI 倫理、隱私與責任邊界 machine learning responsible AI beginner tutorial Teachable</x:v>
      </x:c>
      <x:c r="I425" s="38" t="str">
        <x:v>https://www.youtube.com/results?search_query=AI+%E5%80%AB%E7%90%86%E3%80%81%E9%9A%B1%E7%A7%81%E8%88%87%E8%B2%AC%E4%BB%BB%E9%82%8A%E7%95%8C+machine+learning+responsible+AI+beginner+tutorial+Teachable</x:v>
      </x:c>
      <x:c r="J425" s="38" t="str">
        <x:v>課前暖身</x:v>
      </x:c>
      <x:c r="K425" s="38" t="str">
        <x:v>5–12 分鐘</x:v>
      </x:c>
      <x:c r="L425" s="38" t="str">
        <x:v>先建立直覺；看完能說出 3 個關鍵詞</x:v>
      </x:c>
      <x:c r="M425" s="38" t="str">
        <x:v>□ 未挑選</x:v>
      </x:c>
      <x:c r="N425" s="38" t="str"/>
      <x:c r="O425" s="38" t="str"/>
    </x:row>
    <x:row r="426">
      <x:c r="A426" s="38" t="n">
        <x:v>142</x:v>
      </x:c>
      <x:c r="B426" s="38" t="str">
        <x:v>第 3 年</x:v>
      </x:c>
      <x:c r="C426" s="38" t="str">
        <x:v>M09 機器學習、生成式 AI 與責任</x:v>
      </x:c>
      <x:c r="D426" s="38" t="n">
        <x:v>14</x:v>
      </x:c>
      <x:c r="E426" s="38" t="str">
        <x:v>AI 倫理、隱私與責任邊界</x:v>
      </x:c>
      <x:c r="F426" s="38" t="n">
        <x:v>2</x:v>
      </x:c>
      <x:c r="G426" s="38" t="str">
        <x:v>跟做實作／專案導向</x:v>
      </x:c>
      <x:c r="H426" s="38" t="str">
        <x:v>AI 倫理、隱私與責任邊界 討論同意、資料最小化、深偽、責任與何時不用 AI hands on project for kids machine learning responsible AI</x:v>
      </x:c>
      <x:c r="I426" s="38" t="str">
        <x:v>https://www.youtube.com/results?search_query=AI+%E5%80%AB%E7%90%86%E3%80%81%E9%9A%B1%E7%A7%81%E8%88%87%E8%B2%AC%E4%BB%BB%E9%82%8A%E7%95%8C+%E8%A8%8E%E8%AB%96%E5%90%8C%E6%84%8F%E3%80%81%E8%B3%87%E6%96%99%E6%9C%80%E5%B0%8F%E5%8C%96%E3%80%81%E6%B7%B1%E5%81%BD%E3%80%81%E8%B2%AC%E4%BB%BB%E8%88%87%E4%BD%95%E6%99%82%E4%B8%8D%E7%94%A8+AI+hands+on+project+for+kids+machine+learning+responsible+AI</x:v>
      </x:c>
      <x:c r="J426" s="38" t="str">
        <x:v>課中實作參考</x:v>
      </x:c>
      <x:c r="K426" s="38" t="str">
        <x:v>8–20 分鐘</x:v>
      </x:c>
      <x:c r="L426" s="38" t="str">
        <x:v>優先找有畫面操作、步驟清楚、可暫停跟做的版本</x:v>
      </x:c>
      <x:c r="M426" s="38" t="str">
        <x:v>□ 未挑選</x:v>
      </x:c>
      <x:c r="N426" s="38" t="str"/>
      <x:c r="O426" s="38" t="str"/>
    </x:row>
    <x:row r="427">
      <x:c r="A427" s="38" t="n">
        <x:v>142</x:v>
      </x:c>
      <x:c r="B427" s="38" t="str">
        <x:v>第 3 年</x:v>
      </x:c>
      <x:c r="C427" s="38" t="str">
        <x:v>M09 機器學習、生成式 AI 與責任</x:v>
      </x:c>
      <x:c r="D427" s="38" t="n">
        <x:v>14</x:v>
      </x:c>
      <x:c r="E427" s="38" t="str">
        <x:v>AI 倫理、隱私與責任邊界</x:v>
      </x:c>
      <x:c r="F427" s="38" t="n">
        <x:v>3</x:v>
      </x:c>
      <x:c r="G427" s="38" t="str">
        <x:v>中文延伸／倫理安全</x:v>
      </x:c>
      <x:c r="H427" s="38" t="str">
        <x:v>AI 倫理、隱私與責任邊界 中文 教學 原理 安全 親子 machine learning responsible AI</x:v>
      </x:c>
      <x:c r="I427" s="38" t="str">
        <x:v>https://www.youtube.com/results?search_query=AI+%E5%80%AB%E7%90%86%E3%80%81%E9%9A%B1%E7%A7%81%E8%88%87%E8%B2%AC%E4%BB%BB%E9%82%8A%E7%95%8C+%E4%B8%AD%E6%96%87+%E6%95%99%E5%AD%B8+%E5%8E%9F%E7%90%86+%E5%AE%89%E5%85%A8+%E8%A6%AA%E5%AD%90+machine+learning+responsible+AI</x:v>
      </x:c>
      <x:c r="J427" s="38" t="str">
        <x:v>課後延伸／親子討論</x:v>
      </x:c>
      <x:c r="K427" s="38" t="str">
        <x:v>6–15 分鐘</x:v>
      </x:c>
      <x:c r="L427" s="38" t="str">
        <x:v>補充應用、倫理、安全或真實案例；父子各說一個觀點</x:v>
      </x:c>
      <x:c r="M427" s="38" t="str">
        <x:v>□ 未挑選</x:v>
      </x:c>
      <x:c r="N427" s="38" t="str"/>
      <x:c r="O427" s="38" t="str"/>
    </x:row>
    <x:row r="428">
      <x:c r="A428" s="38" t="n">
        <x:v>143</x:v>
      </x:c>
      <x:c r="B428" s="38" t="str">
        <x:v>第 3 年</x:v>
      </x:c>
      <x:c r="C428" s="38" t="str">
        <x:v>M09 機器學習、生成式 AI 與責任</x:v>
      </x:c>
      <x:c r="D428" s="38" t="n">
        <x:v>15</x:v>
      </x:c>
      <x:c r="E428" s="38" t="str">
        <x:v>AI 小幫手 Alpha</x:v>
      </x:c>
      <x:c r="F428" s="38" t="n">
        <x:v>1</x:v>
      </x:c>
      <x:c r="G428" s="38" t="str">
        <x:v>概念入門／官方優先</x:v>
      </x:c>
      <x:c r="H428" s="38" t="str">
        <x:v>AI 小幫手 Alpha machine learning responsible AI beginner tutorial Teachable</x:v>
      </x:c>
      <x:c r="I428" s="38" t="str">
        <x:v>https://www.youtube.com/results?search_query=AI+%E5%B0%8F%E5%B9%AB%E6%89%8B+Alpha+machine+learning+responsible+AI+beginner+tutorial+Teachable</x:v>
      </x:c>
      <x:c r="J428" s="38" t="str">
        <x:v>課前暖身</x:v>
      </x:c>
      <x:c r="K428" s="38" t="str">
        <x:v>5–12 分鐘</x:v>
      </x:c>
      <x:c r="L428" s="38" t="str">
        <x:v>先建立直覺；看完能說出 3 個關鍵詞</x:v>
      </x:c>
      <x:c r="M428" s="38" t="str">
        <x:v>□ 未挑選</x:v>
      </x:c>
      <x:c r="N428" s="38" t="str"/>
      <x:c r="O428" s="38" t="str"/>
    </x:row>
    <x:row r="429">
      <x:c r="A429" s="38" t="n">
        <x:v>143</x:v>
      </x:c>
      <x:c r="B429" s="38" t="str">
        <x:v>第 3 年</x:v>
      </x:c>
      <x:c r="C429" s="38" t="str">
        <x:v>M09 機器學習、生成式 AI 與責任</x:v>
      </x:c>
      <x:c r="D429" s="38" t="n">
        <x:v>15</x:v>
      </x:c>
      <x:c r="E429" s="38" t="str">
        <x:v>AI 小幫手 Alpha</x:v>
      </x:c>
      <x:c r="F429" s="38" t="n">
        <x:v>2</x:v>
      </x:c>
      <x:c r="G429" s="38" t="str">
        <x:v>跟做實作／專案導向</x:v>
      </x:c>
      <x:c r="H429" s="38" t="str">
        <x:v>AI 小幫手 Alpha 整合資料、Prompt/RAG、介面與安全限制 hands on project for kids machine learning responsible AI</x:v>
      </x:c>
      <x:c r="I429" s="38" t="str">
        <x:v>https://www.youtube.com/results?search_query=AI+%E5%B0%8F%E5%B9%AB%E6%89%8B+Alpha+%E6%95%B4%E5%90%88%E8%B3%87%E6%96%99%E3%80%81Prompt%2FRAG%E3%80%81%E4%BB%8B%E9%9D%A2%E8%88%87%E5%AE%89%E5%85%A8%E9%99%90%E5%88%B6+hands+on+project+for+kids+machine+learning+responsible+AI</x:v>
      </x:c>
      <x:c r="J429" s="38" t="str">
        <x:v>課中實作參考</x:v>
      </x:c>
      <x:c r="K429" s="38" t="str">
        <x:v>8–20 分鐘</x:v>
      </x:c>
      <x:c r="L429" s="38" t="str">
        <x:v>優先找有畫面操作、步驟清楚、可暫停跟做的版本</x:v>
      </x:c>
      <x:c r="M429" s="38" t="str">
        <x:v>□ 未挑選</x:v>
      </x:c>
      <x:c r="N429" s="38" t="str"/>
      <x:c r="O429" s="38" t="str"/>
    </x:row>
    <x:row r="430">
      <x:c r="A430" s="38" t="n">
        <x:v>143</x:v>
      </x:c>
      <x:c r="B430" s="38" t="str">
        <x:v>第 3 年</x:v>
      </x:c>
      <x:c r="C430" s="38" t="str">
        <x:v>M09 機器學習、生成式 AI 與責任</x:v>
      </x:c>
      <x:c r="D430" s="38" t="n">
        <x:v>15</x:v>
      </x:c>
      <x:c r="E430" s="38" t="str">
        <x:v>AI 小幫手 Alpha</x:v>
      </x:c>
      <x:c r="F430" s="38" t="n">
        <x:v>3</x:v>
      </x:c>
      <x:c r="G430" s="38" t="str">
        <x:v>中文延伸／倫理安全</x:v>
      </x:c>
      <x:c r="H430" s="38" t="str">
        <x:v>AI 小幫手 Alpha 中文 教學 原理 安全 親子 machine learning responsible AI</x:v>
      </x:c>
      <x:c r="I430" s="38" t="str">
        <x:v>https://www.youtube.com/results?search_query=AI+%E5%B0%8F%E5%B9%AB%E6%89%8B+Alpha+%E4%B8%AD%E6%96%87+%E6%95%99%E5%AD%B8+%E5%8E%9F%E7%90%86+%E5%AE%89%E5%85%A8+%E8%A6%AA%E5%AD%90+machine+learning+responsible+AI</x:v>
      </x:c>
      <x:c r="J430" s="38" t="str">
        <x:v>課後延伸／親子討論</x:v>
      </x:c>
      <x:c r="K430" s="38" t="str">
        <x:v>6–15 分鐘</x:v>
      </x:c>
      <x:c r="L430" s="38" t="str">
        <x:v>補充應用、倫理、安全或真實案例；父子各說一個觀點</x:v>
      </x:c>
      <x:c r="M430" s="38" t="str">
        <x:v>□ 未挑選</x:v>
      </x:c>
      <x:c r="N430" s="38" t="str"/>
      <x:c r="O430" s="38" t="str"/>
    </x:row>
    <x:row r="431">
      <x:c r="A431" s="38" t="n">
        <x:v>144</x:v>
      </x:c>
      <x:c r="B431" s="38" t="str">
        <x:v>第 3 年</x:v>
      </x:c>
      <x:c r="C431" s="38" t="str">
        <x:v>M09 機器學習、生成式 AI 與責任</x:v>
      </x:c>
      <x:c r="D431" s="38" t="n">
        <x:v>16</x:v>
      </x:c>
      <x:c r="E431" s="38" t="str">
        <x:v>Model Card 與 Demo Day</x:v>
      </x:c>
      <x:c r="F431" s="38" t="n">
        <x:v>1</x:v>
      </x:c>
      <x:c r="G431" s="38" t="str">
        <x:v>概念入門／官方優先</x:v>
      </x:c>
      <x:c r="H431" s="38" t="str">
        <x:v>Model Card 與 Demo Day machine learning responsible AI beginner tutorial Teachable</x:v>
      </x:c>
      <x:c r="I431" s="38" t="str">
        <x:v>https://www.youtube.com/results?search_query=Model+Card+%E8%88%87+Demo+Day+machine+learning+responsible+AI+beginner+tutorial+Teachable</x:v>
      </x:c>
      <x:c r="J431" s="38" t="str">
        <x:v>課前暖身</x:v>
      </x:c>
      <x:c r="K431" s="38" t="str">
        <x:v>5–12 分鐘</x:v>
      </x:c>
      <x:c r="L431" s="38" t="str">
        <x:v>先建立直覺；看完能說出 3 個關鍵詞</x:v>
      </x:c>
      <x:c r="M431" s="38" t="str">
        <x:v>□ 未挑選</x:v>
      </x:c>
      <x:c r="N431" s="38" t="str"/>
      <x:c r="O431" s="38" t="str"/>
    </x:row>
    <x:row r="432">
      <x:c r="A432" s="38" t="n">
        <x:v>144</x:v>
      </x:c>
      <x:c r="B432" s="38" t="str">
        <x:v>第 3 年</x:v>
      </x:c>
      <x:c r="C432" s="38" t="str">
        <x:v>M09 機器學習、生成式 AI 與責任</x:v>
      </x:c>
      <x:c r="D432" s="38" t="n">
        <x:v>16</x:v>
      </x:c>
      <x:c r="E432" s="38" t="str">
        <x:v>Model Card 與 Demo Day</x:v>
      </x:c>
      <x:c r="F432" s="38" t="n">
        <x:v>2</x:v>
      </x:c>
      <x:c r="G432" s="38" t="str">
        <x:v>跟做實作／專案導向</x:v>
      </x:c>
      <x:c r="H432" s="38" t="str">
        <x:v>Model Card 與 Demo Day 清楚說明用途、資料、限制、測試、風險與改進 hands on project for kids machine learning responsible</x:v>
      </x:c>
      <x:c r="I432" s="38" t="str">
        <x:v>https://www.youtube.com/results?search_query=Model+Card+%E8%88%87+Demo+Day+%E6%B8%85%E6%A5%9A%E8%AA%AA%E6%98%8E%E7%94%A8%E9%80%94%E3%80%81%E8%B3%87%E6%96%99%E3%80%81%E9%99%90%E5%88%B6%E3%80%81%E6%B8%AC%E8%A9%A6%E3%80%81%E9%A2%A8%E9%9A%AA%E8%88%87%E6%94%B9%E9%80%B2+hands+on+project+for+kids+machine+learning+responsible+AI</x:v>
      </x:c>
      <x:c r="J432" s="38" t="str">
        <x:v>課中實作參考</x:v>
      </x:c>
      <x:c r="K432" s="38" t="str">
        <x:v>8–20 分鐘</x:v>
      </x:c>
      <x:c r="L432" s="38" t="str">
        <x:v>優先找有畫面操作、步驟清楚、可暫停跟做的版本</x:v>
      </x:c>
      <x:c r="M432" s="38" t="str">
        <x:v>□ 未挑選</x:v>
      </x:c>
      <x:c r="N432" s="38" t="str"/>
      <x:c r="O432" s="38" t="str"/>
    </x:row>
    <x:row r="433">
      <x:c r="A433" s="38" t="n">
        <x:v>144</x:v>
      </x:c>
      <x:c r="B433" s="38" t="str">
        <x:v>第 3 年</x:v>
      </x:c>
      <x:c r="C433" s="38" t="str">
        <x:v>M09 機器學習、生成式 AI 與責任</x:v>
      </x:c>
      <x:c r="D433" s="38" t="n">
        <x:v>16</x:v>
      </x:c>
      <x:c r="E433" s="38" t="str">
        <x:v>Model Card 與 Demo Day</x:v>
      </x:c>
      <x:c r="F433" s="38" t="n">
        <x:v>3</x:v>
      </x:c>
      <x:c r="G433" s="38" t="str">
        <x:v>中文延伸／倫理安全</x:v>
      </x:c>
      <x:c r="H433" s="38" t="str">
        <x:v>Model Card 與 Demo Day 中文 教學 原理 安全 親子 machine learning responsible AI</x:v>
      </x:c>
      <x:c r="I433" s="38" t="str">
        <x:v>https://www.youtube.com/results?search_query=Model+Card+%E8%88%87+Demo+Day+%E4%B8%AD%E6%96%87+%E6%95%99%E5%AD%B8+%E5%8E%9F%E7%90%86+%E5%AE%89%E5%85%A8+%E8%A6%AA%E5%AD%90+machine+learning+responsible+AI</x:v>
      </x:c>
      <x:c r="J433" s="38" t="str">
        <x:v>課後延伸／親子討論</x:v>
      </x:c>
      <x:c r="K433" s="38" t="str">
        <x:v>6–15 分鐘</x:v>
      </x:c>
      <x:c r="L433" s="38" t="str">
        <x:v>補充應用、倫理、安全或真實案例；父子各說一個觀點</x:v>
      </x:c>
      <x:c r="M433" s="38" t="str">
        <x:v>□ 未挑選</x:v>
      </x:c>
      <x:c r="N433" s="38" t="str"/>
      <x:c r="O433" s="38" t="str"/>
    </x:row>
    <x:row r="434">
      <x:c r="A434" s="38" t="n">
        <x:v>145</x:v>
      </x:c>
      <x:c r="B434" s="38" t="str">
        <x:v>第 4 年</x:v>
      </x:c>
      <x:c r="C434" s="38" t="str">
        <x:v>M10 Robot 與 IoT：感知、決策、行動</x:v>
      </x:c>
      <x:c r="D434" s="38" t="n">
        <x:v>1</x:v>
      </x:c>
      <x:c r="E434" s="38" t="str">
        <x:v>機器人的三段式：感知—思考—行動</x:v>
      </x:c>
      <x:c r="F434" s="38" t="n">
        <x:v>1</x:v>
      </x:c>
      <x:c r="G434" s="38" t="str">
        <x:v>概念入門／官方優先</x:v>
      </x:c>
      <x:c r="H434" s="38" t="str">
        <x:v>機器人的三段式 感知 思考 行動 Arduino robot IoT sensors beginner tutorial Arduino</x:v>
      </x:c>
      <x:c r="I434" s="38" t="str">
        <x:v>https://www.youtube.com/results?search_query=%E6%A9%9F%E5%99%A8%E4%BA%BA%E7%9A%84%E4%B8%89%E6%AE%B5%E5%BC%8F+%E6%84%9F%E7%9F%A5+%E6%80%9D%E8%80%83+%E8%A1%8C%E5%8B%95+Arduino+robot+IoT+sensors+beginner+tutorial+Arduino</x:v>
      </x:c>
      <x:c r="J434" s="38" t="str">
        <x:v>課前暖身</x:v>
      </x:c>
      <x:c r="K434" s="38" t="str">
        <x:v>5–12 分鐘</x:v>
      </x:c>
      <x:c r="L434" s="38" t="str">
        <x:v>先建立直覺；看完能說出 3 個關鍵詞</x:v>
      </x:c>
      <x:c r="M434" s="38" t="str">
        <x:v>□ 未挑選</x:v>
      </x:c>
      <x:c r="N434" s="38" t="str"/>
      <x:c r="O434" s="38" t="str"/>
    </x:row>
    <x:row r="435">
      <x:c r="A435" s="38" t="n">
        <x:v>145</x:v>
      </x:c>
      <x:c r="B435" s="38" t="str">
        <x:v>第 4 年</x:v>
      </x:c>
      <x:c r="C435" s="38" t="str">
        <x:v>M10 Robot 與 IoT：感知、決策、行動</x:v>
      </x:c>
      <x:c r="D435" s="38" t="n">
        <x:v>1</x:v>
      </x:c>
      <x:c r="E435" s="38" t="str">
        <x:v>機器人的三段式：感知—思考—行動</x:v>
      </x:c>
      <x:c r="F435" s="38" t="n">
        <x:v>2</x:v>
      </x:c>
      <x:c r="G435" s="38" t="str">
        <x:v>跟做實作／專案導向</x:v>
      </x:c>
      <x:c r="H435" s="38" t="str">
        <x:v>機器人的三段式 感知 思考 行動 建立機器人系統框圖與訊號流 hands on project for kids Arduino robot IoT sensors</x:v>
      </x:c>
      <x:c r="I435" s="38" t="str">
        <x:v>https://www.youtube.com/results?search_query=%E6%A9%9F%E5%99%A8%E4%BA%BA%E7%9A%84%E4%B8%89%E6%AE%B5%E5%BC%8F+%E6%84%9F%E7%9F%A5+%E6%80%9D%E8%80%83+%E8%A1%8C%E5%8B%95+%E5%BB%BA%E7%AB%8B%E6%A9%9F%E5%99%A8%E4%BA%BA%E7%B3%BB%E7%B5%B1%E6%A1%86%E5%9C%96%E8%88%87%E8%A8%8A%E8%99%9F%E6%B5%81+hands+on+project+for+kids+Arduino+robot+IoT+sensors</x:v>
      </x:c>
      <x:c r="J435" s="38" t="str">
        <x:v>課中實作參考</x:v>
      </x:c>
      <x:c r="K435" s="38" t="str">
        <x:v>8–20 分鐘</x:v>
      </x:c>
      <x:c r="L435" s="38" t="str">
        <x:v>優先找有畫面操作、步驟清楚、可暫停跟做的版本</x:v>
      </x:c>
      <x:c r="M435" s="38" t="str">
        <x:v>□ 未挑選</x:v>
      </x:c>
      <x:c r="N435" s="38" t="str"/>
      <x:c r="O435" s="38" t="str"/>
    </x:row>
    <x:row r="436">
      <x:c r="A436" s="38" t="n">
        <x:v>145</x:v>
      </x:c>
      <x:c r="B436" s="38" t="str">
        <x:v>第 4 年</x:v>
      </x:c>
      <x:c r="C436" s="38" t="str">
        <x:v>M10 Robot 與 IoT：感知、決策、行動</x:v>
      </x:c>
      <x:c r="D436" s="38" t="n">
        <x:v>1</x:v>
      </x:c>
      <x:c r="E436" s="38" t="str">
        <x:v>機器人的三段式：感知—思考—行動</x:v>
      </x:c>
      <x:c r="F436" s="38" t="n">
        <x:v>3</x:v>
      </x:c>
      <x:c r="G436" s="38" t="str">
        <x:v>中文延伸／倫理安全</x:v>
      </x:c>
      <x:c r="H436" s="38" t="str">
        <x:v>機器人的三段式 感知 思考 行動 中文 教學 原理 安全 親子 Arduino robot IoT sensors</x:v>
      </x:c>
      <x:c r="I436" s="38" t="str">
        <x:v>https://www.youtube.com/results?search_query=%E6%A9%9F%E5%99%A8%E4%BA%BA%E7%9A%84%E4%B8%89%E6%AE%B5%E5%BC%8F+%E6%84%9F%E7%9F%A5+%E6%80%9D%E8%80%83+%E8%A1%8C%E5%8B%95+%E4%B8%AD%E6%96%87+%E6%95%99%E5%AD%B8+%E5%8E%9F%E7%90%86+%E5%AE%89%E5%85%A8+%E8%A6%AA%E5%AD%90+Arduino+robot+IoT+sensors</x:v>
      </x:c>
      <x:c r="J436" s="38" t="str">
        <x:v>課後延伸／親子討論</x:v>
      </x:c>
      <x:c r="K436" s="38" t="str">
        <x:v>6–15 分鐘</x:v>
      </x:c>
      <x:c r="L436" s="38" t="str">
        <x:v>補充應用、倫理、安全或真實案例；父子各說一個觀點</x:v>
      </x:c>
      <x:c r="M436" s="38" t="str">
        <x:v>□ 未挑選</x:v>
      </x:c>
      <x:c r="N436" s="38" t="str"/>
      <x:c r="O436" s="38" t="str"/>
    </x:row>
    <x:row r="437">
      <x:c r="A437" s="38" t="n">
        <x:v>146</x:v>
      </x:c>
      <x:c r="B437" s="38" t="str">
        <x:v>第 4 年</x:v>
      </x:c>
      <x:c r="C437" s="38" t="str">
        <x:v>M10 Robot 與 IoT：感知、決策、行動</x:v>
      </x:c>
      <x:c r="D437" s="38" t="n">
        <x:v>2</x:v>
      </x:c>
      <x:c r="E437" s="38" t="str">
        <x:v>馬達與機構：轉動如何變成動作</x:v>
      </x:c>
      <x:c r="F437" s="38" t="n">
        <x:v>1</x:v>
      </x:c>
      <x:c r="G437" s="38" t="str">
        <x:v>概念入門／官方優先</x:v>
      </x:c>
      <x:c r="H437" s="38" t="str">
        <x:v>馬達與機構 轉動如何變成動作 Arduino robot IoT sensors beginner tutorial Arduino</x:v>
      </x:c>
      <x:c r="I437" s="38" t="str">
        <x:v>https://www.youtube.com/results?search_query=%E9%A6%AC%E9%81%94%E8%88%87%E6%A9%9F%E6%A7%8B+%E8%BD%89%E5%8B%95%E5%A6%82%E4%BD%95%E8%AE%8A%E6%88%90%E5%8B%95%E4%BD%9C+Arduino+robot+IoT+sensors+beginner+tutorial+Arduino</x:v>
      </x:c>
      <x:c r="J437" s="38" t="str">
        <x:v>課前暖身</x:v>
      </x:c>
      <x:c r="K437" s="38" t="str">
        <x:v>5–12 分鐘</x:v>
      </x:c>
      <x:c r="L437" s="38" t="str">
        <x:v>先建立直覺；看完能說出 3 個關鍵詞</x:v>
      </x:c>
      <x:c r="M437" s="38" t="str">
        <x:v>□ 未挑選</x:v>
      </x:c>
      <x:c r="N437" s="38" t="str"/>
      <x:c r="O437" s="38" t="str"/>
    </x:row>
    <x:row r="438">
      <x:c r="A438" s="38" t="n">
        <x:v>146</x:v>
      </x:c>
      <x:c r="B438" s="38" t="str">
        <x:v>第 4 年</x:v>
      </x:c>
      <x:c r="C438" s="38" t="str">
        <x:v>M10 Robot 與 IoT：感知、決策、行動</x:v>
      </x:c>
      <x:c r="D438" s="38" t="n">
        <x:v>2</x:v>
      </x:c>
      <x:c r="E438" s="38" t="str">
        <x:v>馬達與機構：轉動如何變成動作</x:v>
      </x:c>
      <x:c r="F438" s="38" t="n">
        <x:v>2</x:v>
      </x:c>
      <x:c r="G438" s="38" t="str">
        <x:v>跟做實作／專案導向</x:v>
      </x:c>
      <x:c r="H438" s="38" t="str">
        <x:v>馬達與機構 轉動如何變成動作 理解 DC/servo/stepper、扭力、速度與機構限制 hands on project for kids Arduino robot IoT sensors</x:v>
      </x:c>
      <x:c r="I438" s="38" t="str">
        <x:v>https://www.youtube.com/results?search_query=%E9%A6%AC%E9%81%94%E8%88%87%E6%A9%9F%E6%A7%8B+%E8%BD%89%E5%8B%95%E5%A6%82%E4%BD%95%E8%AE%8A%E6%88%90%E5%8B%95%E4%BD%9C+%E7%90%86%E8%A7%A3+DC%2Fservo%2Fstepper%E3%80%81%E6%89%AD%E5%8A%9B%E3%80%81%E9%80%9F%E5%BA%A6%E8%88%87%E6%A9%9F%E6%A7%8B%E9%99%90%E5%88%B6+hands+on+project+for+kids+Arduino+robot+IoT+sensors</x:v>
      </x:c>
      <x:c r="J438" s="38" t="str">
        <x:v>課中實作參考</x:v>
      </x:c>
      <x:c r="K438" s="38" t="str">
        <x:v>8–20 分鐘</x:v>
      </x:c>
      <x:c r="L438" s="38" t="str">
        <x:v>優先找有畫面操作、步驟清楚、可暫停跟做的版本</x:v>
      </x:c>
      <x:c r="M438" s="38" t="str">
        <x:v>□ 未挑選</x:v>
      </x:c>
      <x:c r="N438" s="38" t="str"/>
      <x:c r="O438" s="38" t="str"/>
    </x:row>
    <x:row r="439">
      <x:c r="A439" s="38" t="n">
        <x:v>146</x:v>
      </x:c>
      <x:c r="B439" s="38" t="str">
        <x:v>第 4 年</x:v>
      </x:c>
      <x:c r="C439" s="38" t="str">
        <x:v>M10 Robot 與 IoT：感知、決策、行動</x:v>
      </x:c>
      <x:c r="D439" s="38" t="n">
        <x:v>2</x:v>
      </x:c>
      <x:c r="E439" s="38" t="str">
        <x:v>馬達與機構：轉動如何變成動作</x:v>
      </x:c>
      <x:c r="F439" s="38" t="n">
        <x:v>3</x:v>
      </x:c>
      <x:c r="G439" s="38" t="str">
        <x:v>中文延伸／倫理安全</x:v>
      </x:c>
      <x:c r="H439" s="38" t="str">
        <x:v>馬達與機構 轉動如何變成動作 中文 教學 原理 安全 親子 Arduino robot IoT sensors</x:v>
      </x:c>
      <x:c r="I439" s="38" t="str">
        <x:v>https://www.youtube.com/results?search_query=%E9%A6%AC%E9%81%94%E8%88%87%E6%A9%9F%E6%A7%8B+%E8%BD%89%E5%8B%95%E5%A6%82%E4%BD%95%E8%AE%8A%E6%88%90%E5%8B%95%E4%BD%9C+%E4%B8%AD%E6%96%87+%E6%95%99%E5%AD%B8+%E5%8E%9F%E7%90%86+%E5%AE%89%E5%85%A8+%E8%A6%AA%E5%AD%90+Arduino+robot+IoT+sensors</x:v>
      </x:c>
      <x:c r="J439" s="38" t="str">
        <x:v>課後延伸／親子討論</x:v>
      </x:c>
      <x:c r="K439" s="38" t="str">
        <x:v>6–15 分鐘</x:v>
      </x:c>
      <x:c r="L439" s="38" t="str">
        <x:v>補充應用、倫理、安全或真實案例；父子各說一個觀點</x:v>
      </x:c>
      <x:c r="M439" s="38" t="str">
        <x:v>□ 未挑選</x:v>
      </x:c>
      <x:c r="N439" s="38" t="str"/>
      <x:c r="O439" s="38" t="str"/>
    </x:row>
    <x:row r="440">
      <x:c r="A440" s="38" t="n">
        <x:v>147</x:v>
      </x:c>
      <x:c r="B440" s="38" t="str">
        <x:v>第 4 年</x:v>
      </x:c>
      <x:c r="C440" s="38" t="str">
        <x:v>M10 Robot 與 IoT：感知、決策、行動</x:v>
      </x:c>
      <x:c r="D440" s="38" t="n">
        <x:v>3</x:v>
      </x:c>
      <x:c r="E440" s="38" t="str">
        <x:v>距離、光線、碰撞：機器人的感官</x:v>
      </x:c>
      <x:c r="F440" s="38" t="n">
        <x:v>1</x:v>
      </x:c>
      <x:c r="G440" s="38" t="str">
        <x:v>概念入門／官方優先</x:v>
      </x:c>
      <x:c r="H440" s="38" t="str">
        <x:v>距離、光線、碰撞 機器人的感官 Arduino robot IoT sensors beginner tutorial Arduino</x:v>
      </x:c>
      <x:c r="I440" s="38" t="str">
        <x:v>https://www.youtube.com/results?search_query=%E8%B7%9D%E9%9B%A2%E3%80%81%E5%85%89%E7%B7%9A%E3%80%81%E7%A2%B0%E6%92%9E+%E6%A9%9F%E5%99%A8%E4%BA%BA%E7%9A%84%E6%84%9F%E5%AE%98+Arduino+robot+IoT+sensors+beginner+tutorial+Arduino</x:v>
      </x:c>
      <x:c r="J440" s="38" t="str">
        <x:v>課前暖身</x:v>
      </x:c>
      <x:c r="K440" s="38" t="str">
        <x:v>5–12 分鐘</x:v>
      </x:c>
      <x:c r="L440" s="38" t="str">
        <x:v>先建立直覺；看完能說出 3 個關鍵詞</x:v>
      </x:c>
      <x:c r="M440" s="38" t="str">
        <x:v>□ 未挑選</x:v>
      </x:c>
      <x:c r="N440" s="38" t="str"/>
      <x:c r="O440" s="38" t="str"/>
    </x:row>
    <x:row r="441">
      <x:c r="A441" s="38" t="n">
        <x:v>147</x:v>
      </x:c>
      <x:c r="B441" s="38" t="str">
        <x:v>第 4 年</x:v>
      </x:c>
      <x:c r="C441" s="38" t="str">
        <x:v>M10 Robot 與 IoT：感知、決策、行動</x:v>
      </x:c>
      <x:c r="D441" s="38" t="n">
        <x:v>3</x:v>
      </x:c>
      <x:c r="E441" s="38" t="str">
        <x:v>距離、光線、碰撞：機器人的感官</x:v>
      </x:c>
      <x:c r="F441" s="38" t="n">
        <x:v>2</x:v>
      </x:c>
      <x:c r="G441" s="38" t="str">
        <x:v>跟做實作／專案導向</x:v>
      </x:c>
      <x:c r="H441" s="38" t="str">
        <x:v>距離、光線、碰撞 機器人的感官 比較不同感測器的範圍、誤差與失效情境 hands on project for kids Arduino robot IoT sensors</x:v>
      </x:c>
      <x:c r="I441" s="38" t="str">
        <x:v>https://www.youtube.com/results?search_query=%E8%B7%9D%E9%9B%A2%E3%80%81%E5%85%89%E7%B7%9A%E3%80%81%E7%A2%B0%E6%92%9E+%E6%A9%9F%E5%99%A8%E4%BA%BA%E7%9A%84%E6%84%9F%E5%AE%98+%E6%AF%94%E8%BC%83%E4%B8%8D%E5%90%8C%E6%84%9F%E6%B8%AC%E5%99%A8%E7%9A%84%E7%AF%84%E5%9C%8D%E3%80%81%E8%AA%A4%E5%B7%AE%E8%88%87%E5%A4%B1%E6%95%88%E6%83%85%E5%A2%83+hands+on+project+for+kids+Arduino+robot+IoT+sensors</x:v>
      </x:c>
      <x:c r="J441" s="38" t="str">
        <x:v>課中實作參考</x:v>
      </x:c>
      <x:c r="K441" s="38" t="str">
        <x:v>8–20 分鐘</x:v>
      </x:c>
      <x:c r="L441" s="38" t="str">
        <x:v>優先找有畫面操作、步驟清楚、可暫停跟做的版本</x:v>
      </x:c>
      <x:c r="M441" s="38" t="str">
        <x:v>□ 未挑選</x:v>
      </x:c>
      <x:c r="N441" s="38" t="str"/>
      <x:c r="O441" s="38" t="str"/>
    </x:row>
    <x:row r="442">
      <x:c r="A442" s="38" t="n">
        <x:v>147</x:v>
      </x:c>
      <x:c r="B442" s="38" t="str">
        <x:v>第 4 年</x:v>
      </x:c>
      <x:c r="C442" s="38" t="str">
        <x:v>M10 Robot 與 IoT：感知、決策、行動</x:v>
      </x:c>
      <x:c r="D442" s="38" t="n">
        <x:v>3</x:v>
      </x:c>
      <x:c r="E442" s="38" t="str">
        <x:v>距離、光線、碰撞：機器人的感官</x:v>
      </x:c>
      <x:c r="F442" s="38" t="n">
        <x:v>3</x:v>
      </x:c>
      <x:c r="G442" s="38" t="str">
        <x:v>中文延伸／倫理安全</x:v>
      </x:c>
      <x:c r="H442" s="38" t="str">
        <x:v>距離、光線、碰撞 機器人的感官 中文 教學 原理 安全 親子 Arduino robot IoT sensors</x:v>
      </x:c>
      <x:c r="I442" s="38" t="str">
        <x:v>https://www.youtube.com/results?search_query=%E8%B7%9D%E9%9B%A2%E3%80%81%E5%85%89%E7%B7%9A%E3%80%81%E7%A2%B0%E6%92%9E+%E6%A9%9F%E5%99%A8%E4%BA%BA%E7%9A%84%E6%84%9F%E5%AE%98+%E4%B8%AD%E6%96%87+%E6%95%99%E5%AD%B8+%E5%8E%9F%E7%90%86+%E5%AE%89%E5%85%A8+%E8%A6%AA%E5%AD%90+Arduino+robot+IoT+sensors</x:v>
      </x:c>
      <x:c r="J442" s="38" t="str">
        <x:v>課後延伸／親子討論</x:v>
      </x:c>
      <x:c r="K442" s="38" t="str">
        <x:v>6–15 分鐘</x:v>
      </x:c>
      <x:c r="L442" s="38" t="str">
        <x:v>補充應用、倫理、安全或真實案例；父子各說一個觀點</x:v>
      </x:c>
      <x:c r="M442" s="38" t="str">
        <x:v>□ 未挑選</x:v>
      </x:c>
      <x:c r="N442" s="38" t="str"/>
      <x:c r="O442" s="38" t="str"/>
    </x:row>
    <x:row r="443">
      <x:c r="A443" s="38" t="n">
        <x:v>148</x:v>
      </x:c>
      <x:c r="B443" s="38" t="str">
        <x:v>第 4 年</x:v>
      </x:c>
      <x:c r="C443" s="38" t="str">
        <x:v>M10 Robot 與 IoT：感知、決策、行動</x:v>
      </x:c>
      <x:c r="D443" s="38" t="n">
        <x:v>4</x:v>
      </x:c>
      <x:c r="E443" s="38" t="str">
        <x:v>控制迴路：不是開了就不管</x:v>
      </x:c>
      <x:c r="F443" s="38" t="n">
        <x:v>1</x:v>
      </x:c>
      <x:c r="G443" s="38" t="str">
        <x:v>概念入門／官方優先</x:v>
      </x:c>
      <x:c r="H443" s="38" t="str">
        <x:v>控制迴路 不是開了就不管 Arduino robot IoT sensors beginner tutorial Arduino</x:v>
      </x:c>
      <x:c r="I443" s="38" t="str">
        <x:v>https://www.youtube.com/results?search_query=%E6%8E%A7%E5%88%B6%E8%BF%B4%E8%B7%AF+%E4%B8%8D%E6%98%AF%E9%96%8B%E4%BA%86%E5%B0%B1%E4%B8%8D%E7%AE%A1+Arduino+robot+IoT+sensors+beginner+tutorial+Arduino</x:v>
      </x:c>
      <x:c r="J443" s="38" t="str">
        <x:v>課前暖身</x:v>
      </x:c>
      <x:c r="K443" s="38" t="str">
        <x:v>5–12 分鐘</x:v>
      </x:c>
      <x:c r="L443" s="38" t="str">
        <x:v>先建立直覺；看完能說出 3 個關鍵詞</x:v>
      </x:c>
      <x:c r="M443" s="38" t="str">
        <x:v>□ 未挑選</x:v>
      </x:c>
      <x:c r="N443" s="38" t="str"/>
      <x:c r="O443" s="38" t="str"/>
    </x:row>
    <x:row r="444">
      <x:c r="A444" s="38" t="n">
        <x:v>148</x:v>
      </x:c>
      <x:c r="B444" s="38" t="str">
        <x:v>第 4 年</x:v>
      </x:c>
      <x:c r="C444" s="38" t="str">
        <x:v>M10 Robot 與 IoT：感知、決策、行動</x:v>
      </x:c>
      <x:c r="D444" s="38" t="n">
        <x:v>4</x:v>
      </x:c>
      <x:c r="E444" s="38" t="str">
        <x:v>控制迴路：不是開了就不管</x:v>
      </x:c>
      <x:c r="F444" s="38" t="n">
        <x:v>2</x:v>
      </x:c>
      <x:c r="G444" s="38" t="str">
        <x:v>跟做實作／專案導向</x:v>
      </x:c>
      <x:c r="H444" s="38" t="str">
        <x:v>控制迴路 不是開了就不管 理解目標值、量測、誤差、修正與震盪 hands on project for kids Arduino robot IoT sensors</x:v>
      </x:c>
      <x:c r="I444" s="38" t="str">
        <x:v>https://www.youtube.com/results?search_query=%E6%8E%A7%E5%88%B6%E8%BF%B4%E8%B7%AF+%E4%B8%8D%E6%98%AF%E9%96%8B%E4%BA%86%E5%B0%B1%E4%B8%8D%E7%AE%A1+%E7%90%86%E8%A7%A3%E7%9B%AE%E6%A8%99%E5%80%BC%E3%80%81%E9%87%8F%E6%B8%AC%E3%80%81%E8%AA%A4%E5%B7%AE%E3%80%81%E4%BF%AE%E6%AD%A3%E8%88%87%E9%9C%87%E7%9B%AA+hands+on+project+for+kids+Arduino+robot+IoT+sensors</x:v>
      </x:c>
      <x:c r="J444" s="38" t="str">
        <x:v>課中實作參考</x:v>
      </x:c>
      <x:c r="K444" s="38" t="str">
        <x:v>8–20 分鐘</x:v>
      </x:c>
      <x:c r="L444" s="38" t="str">
        <x:v>優先找有畫面操作、步驟清楚、可暫停跟做的版本</x:v>
      </x:c>
      <x:c r="M444" s="38" t="str">
        <x:v>□ 未挑選</x:v>
      </x:c>
      <x:c r="N444" s="38" t="str"/>
      <x:c r="O444" s="38" t="str"/>
    </x:row>
    <x:row r="445">
      <x:c r="A445" s="38" t="n">
        <x:v>148</x:v>
      </x:c>
      <x:c r="B445" s="38" t="str">
        <x:v>第 4 年</x:v>
      </x:c>
      <x:c r="C445" s="38" t="str">
        <x:v>M10 Robot 與 IoT：感知、決策、行動</x:v>
      </x:c>
      <x:c r="D445" s="38" t="n">
        <x:v>4</x:v>
      </x:c>
      <x:c r="E445" s="38" t="str">
        <x:v>控制迴路：不是開了就不管</x:v>
      </x:c>
      <x:c r="F445" s="38" t="n">
        <x:v>3</x:v>
      </x:c>
      <x:c r="G445" s="38" t="str">
        <x:v>中文延伸／倫理安全</x:v>
      </x:c>
      <x:c r="H445" s="38" t="str">
        <x:v>控制迴路 不是開了就不管 中文 教學 原理 安全 親子 Arduino robot IoT sensors</x:v>
      </x:c>
      <x:c r="I445" s="38" t="str">
        <x:v>https://www.youtube.com/results?search_query=%E6%8E%A7%E5%88%B6%E8%BF%B4%E8%B7%AF+%E4%B8%8D%E6%98%AF%E9%96%8B%E4%BA%86%E5%B0%B1%E4%B8%8D%E7%AE%A1+%E4%B8%AD%E6%96%87+%E6%95%99%E5%AD%B8+%E5%8E%9F%E7%90%86+%E5%AE%89%E5%85%A8+%E8%A6%AA%E5%AD%90+Arduino+robot+IoT+sensors</x:v>
      </x:c>
      <x:c r="J445" s="38" t="str">
        <x:v>課後延伸／親子討論</x:v>
      </x:c>
      <x:c r="K445" s="38" t="str">
        <x:v>6–15 分鐘</x:v>
      </x:c>
      <x:c r="L445" s="38" t="str">
        <x:v>補充應用、倫理、安全或真實案例；父子各說一個觀點</x:v>
      </x:c>
      <x:c r="M445" s="38" t="str">
        <x:v>□ 未挑選</x:v>
      </x:c>
      <x:c r="N445" s="38" t="str"/>
      <x:c r="O445" s="38" t="str"/>
    </x:row>
    <x:row r="446">
      <x:c r="A446" s="38" t="n">
        <x:v>149</x:v>
      </x:c>
      <x:c r="B446" s="38" t="str">
        <x:v>第 4 年</x:v>
      </x:c>
      <x:c r="C446" s="38" t="str">
        <x:v>M10 Robot 與 IoT：感知、決策、行動</x:v>
      </x:c>
      <x:c r="D446" s="38" t="n">
        <x:v>5</x:v>
      </x:c>
      <x:c r="E446" s="38" t="str">
        <x:v>循線車模擬：規則控制</x:v>
      </x:c>
      <x:c r="F446" s="38" t="n">
        <x:v>1</x:v>
      </x:c>
      <x:c r="G446" s="38" t="str">
        <x:v>概念入門／官方優先</x:v>
      </x:c>
      <x:c r="H446" s="38" t="str">
        <x:v>循線車模擬 規則控制 Arduino robot IoT sensors beginner tutorial Arduino</x:v>
      </x:c>
      <x:c r="I446" s="38" t="str">
        <x:v>https://www.youtube.com/results?search_query=%E5%BE%AA%E7%B7%9A%E8%BB%8A%E6%A8%A1%E6%93%AC+%E8%A6%8F%E5%89%87%E6%8E%A7%E5%88%B6+Arduino+robot+IoT+sensors+beginner+tutorial+Arduino</x:v>
      </x:c>
      <x:c r="J446" s="38" t="str">
        <x:v>課前暖身</x:v>
      </x:c>
      <x:c r="K446" s="38" t="str">
        <x:v>5–12 分鐘</x:v>
      </x:c>
      <x:c r="L446" s="38" t="str">
        <x:v>先建立直覺；看完能說出 3 個關鍵詞</x:v>
      </x:c>
      <x:c r="M446" s="38" t="str">
        <x:v>□ 未挑選</x:v>
      </x:c>
      <x:c r="N446" s="38" t="str"/>
      <x:c r="O446" s="38" t="str"/>
    </x:row>
    <x:row r="447">
      <x:c r="A447" s="38" t="n">
        <x:v>149</x:v>
      </x:c>
      <x:c r="B447" s="38" t="str">
        <x:v>第 4 年</x:v>
      </x:c>
      <x:c r="C447" s="38" t="str">
        <x:v>M10 Robot 與 IoT：感知、決策、行動</x:v>
      </x:c>
      <x:c r="D447" s="38" t="n">
        <x:v>5</x:v>
      </x:c>
      <x:c r="E447" s="38" t="str">
        <x:v>循線車模擬：規則控制</x:v>
      </x:c>
      <x:c r="F447" s="38" t="n">
        <x:v>2</x:v>
      </x:c>
      <x:c r="G447" s="38" t="str">
        <x:v>跟做實作／專案導向</x:v>
      </x:c>
      <x:c r="H447" s="38" t="str">
        <x:v>循線車模擬 規則控制 把左右感測值轉成轉向規則 hands on project for kids Arduino robot IoT sensors</x:v>
      </x:c>
      <x:c r="I447" s="38" t="str">
        <x:v>https://www.youtube.com/results?search_query=%E5%BE%AA%E7%B7%9A%E8%BB%8A%E6%A8%A1%E6%93%AC+%E8%A6%8F%E5%89%87%E6%8E%A7%E5%88%B6+%E6%8A%8A%E5%B7%A6%E5%8F%B3%E6%84%9F%E6%B8%AC%E5%80%BC%E8%BD%89%E6%88%90%E8%BD%89%E5%90%91%E8%A6%8F%E5%89%87+hands+on+project+for+kids+Arduino+robot+IoT+sensors</x:v>
      </x:c>
      <x:c r="J447" s="38" t="str">
        <x:v>課中實作參考</x:v>
      </x:c>
      <x:c r="K447" s="38" t="str">
        <x:v>8–20 分鐘</x:v>
      </x:c>
      <x:c r="L447" s="38" t="str">
        <x:v>優先找有畫面操作、步驟清楚、可暫停跟做的版本</x:v>
      </x:c>
      <x:c r="M447" s="38" t="str">
        <x:v>□ 未挑選</x:v>
      </x:c>
      <x:c r="N447" s="38" t="str"/>
      <x:c r="O447" s="38" t="str"/>
    </x:row>
    <x:row r="448">
      <x:c r="A448" s="38" t="n">
        <x:v>149</x:v>
      </x:c>
      <x:c r="B448" s="38" t="str">
        <x:v>第 4 年</x:v>
      </x:c>
      <x:c r="C448" s="38" t="str">
        <x:v>M10 Robot 與 IoT：感知、決策、行動</x:v>
      </x:c>
      <x:c r="D448" s="38" t="n">
        <x:v>5</x:v>
      </x:c>
      <x:c r="E448" s="38" t="str">
        <x:v>循線車模擬：規則控制</x:v>
      </x:c>
      <x:c r="F448" s="38" t="n">
        <x:v>3</x:v>
      </x:c>
      <x:c r="G448" s="38" t="str">
        <x:v>中文延伸／倫理安全</x:v>
      </x:c>
      <x:c r="H448" s="38" t="str">
        <x:v>循線車模擬 規則控制 中文 教學 原理 安全 親子 Arduino robot IoT sensors</x:v>
      </x:c>
      <x:c r="I448" s="38" t="str">
        <x:v>https://www.youtube.com/results?search_query=%E5%BE%AA%E7%B7%9A%E8%BB%8A%E6%A8%A1%E6%93%AC+%E8%A6%8F%E5%89%87%E6%8E%A7%E5%88%B6+%E4%B8%AD%E6%96%87+%E6%95%99%E5%AD%B8+%E5%8E%9F%E7%90%86+%E5%AE%89%E5%85%A8+%E8%A6%AA%E5%AD%90+Arduino+robot+IoT+sensors</x:v>
      </x:c>
      <x:c r="J448" s="38" t="str">
        <x:v>課後延伸／親子討論</x:v>
      </x:c>
      <x:c r="K448" s="38" t="str">
        <x:v>6–15 分鐘</x:v>
      </x:c>
      <x:c r="L448" s="38" t="str">
        <x:v>補充應用、倫理、安全或真實案例；父子各說一個觀點</x:v>
      </x:c>
      <x:c r="M448" s="38" t="str">
        <x:v>□ 未挑選</x:v>
      </x:c>
      <x:c r="N448" s="38" t="str"/>
      <x:c r="O448" s="38" t="str"/>
    </x:row>
    <x:row r="449">
      <x:c r="A449" s="38" t="n">
        <x:v>150</x:v>
      </x:c>
      <x:c r="B449" s="38" t="str">
        <x:v>第 4 年</x:v>
      </x:c>
      <x:c r="C449" s="38" t="str">
        <x:v>M10 Robot 與 IoT：感知、決策、行動</x:v>
      </x:c>
      <x:c r="D449" s="38" t="n">
        <x:v>6</x:v>
      </x:c>
      <x:c r="E449" s="38" t="str">
        <x:v>狀態機任務：巡邏、發現、追蹤、返回</x:v>
      </x:c>
      <x:c r="F449" s="38" t="n">
        <x:v>1</x:v>
      </x:c>
      <x:c r="G449" s="38" t="str">
        <x:v>概念入門／官方優先</x:v>
      </x:c>
      <x:c r="H449" s="38" t="str">
        <x:v>狀態機任務 巡邏、發現、追蹤、返回 Arduino robot IoT sensors beginner tutorial Arduino</x:v>
      </x:c>
      <x:c r="I449" s="38" t="str">
        <x:v>https://www.youtube.com/results?search_query=%E7%8B%80%E6%85%8B%E6%A9%9F%E4%BB%BB%E5%8B%99+%E5%B7%A1%E9%82%8F%E3%80%81%E7%99%BC%E7%8F%BE%E3%80%81%E8%BF%BD%E8%B9%A4%E3%80%81%E8%BF%94%E5%9B%9E+Arduino+robot+IoT+sensors+beginner+tutorial+Arduino</x:v>
      </x:c>
      <x:c r="J449" s="38" t="str">
        <x:v>課前暖身</x:v>
      </x:c>
      <x:c r="K449" s="38" t="str">
        <x:v>5–12 分鐘</x:v>
      </x:c>
      <x:c r="L449" s="38" t="str">
        <x:v>先建立直覺；看完能說出 3 個關鍵詞</x:v>
      </x:c>
      <x:c r="M449" s="38" t="str">
        <x:v>□ 未挑選</x:v>
      </x:c>
      <x:c r="N449" s="38" t="str"/>
      <x:c r="O449" s="38" t="str"/>
    </x:row>
    <x:row r="450">
      <x:c r="A450" s="38" t="n">
        <x:v>150</x:v>
      </x:c>
      <x:c r="B450" s="38" t="str">
        <x:v>第 4 年</x:v>
      </x:c>
      <x:c r="C450" s="38" t="str">
        <x:v>M10 Robot 與 IoT：感知、決策、行動</x:v>
      </x:c>
      <x:c r="D450" s="38" t="n">
        <x:v>6</x:v>
      </x:c>
      <x:c r="E450" s="38" t="str">
        <x:v>狀態機任務：巡邏、發現、追蹤、返回</x:v>
      </x:c>
      <x:c r="F450" s="38" t="n">
        <x:v>2</x:v>
      </x:c>
      <x:c r="G450" s="38" t="str">
        <x:v>跟做實作／專案導向</x:v>
      </x:c>
      <x:c r="H450" s="38" t="str">
        <x:v>狀態機任務 巡邏、發現、追蹤、返回 管理多步驟任務與例外狀況 hands on project for kids Arduino robot IoT sensors</x:v>
      </x:c>
      <x:c r="I450" s="38" t="str">
        <x:v>https://www.youtube.com/results?search_query=%E7%8B%80%E6%85%8B%E6%A9%9F%E4%BB%BB%E5%8B%99+%E5%B7%A1%E9%82%8F%E3%80%81%E7%99%BC%E7%8F%BE%E3%80%81%E8%BF%BD%E8%B9%A4%E3%80%81%E8%BF%94%E5%9B%9E+%E7%AE%A1%E7%90%86%E5%A4%9A%E6%AD%A5%E9%A9%9F%E4%BB%BB%E5%8B%99%E8%88%87%E4%BE%8B%E5%A4%96%E7%8B%80%E6%B3%81+hands+on+project+for+kids+Arduino+robot+IoT+sensors</x:v>
      </x:c>
      <x:c r="J450" s="38" t="str">
        <x:v>課中實作參考</x:v>
      </x:c>
      <x:c r="K450" s="38" t="str">
        <x:v>8–20 分鐘</x:v>
      </x:c>
      <x:c r="L450" s="38" t="str">
        <x:v>優先找有畫面操作、步驟清楚、可暫停跟做的版本</x:v>
      </x:c>
      <x:c r="M450" s="38" t="str">
        <x:v>□ 未挑選</x:v>
      </x:c>
      <x:c r="N450" s="38" t="str"/>
      <x:c r="O450" s="38" t="str"/>
    </x:row>
    <x:row r="451">
      <x:c r="A451" s="38" t="n">
        <x:v>150</x:v>
      </x:c>
      <x:c r="B451" s="38" t="str">
        <x:v>第 4 年</x:v>
      </x:c>
      <x:c r="C451" s="38" t="str">
        <x:v>M10 Robot 與 IoT：感知、決策、行動</x:v>
      </x:c>
      <x:c r="D451" s="38" t="n">
        <x:v>6</x:v>
      </x:c>
      <x:c r="E451" s="38" t="str">
        <x:v>狀態機任務：巡邏、發現、追蹤、返回</x:v>
      </x:c>
      <x:c r="F451" s="38" t="n">
        <x:v>3</x:v>
      </x:c>
      <x:c r="G451" s="38" t="str">
        <x:v>中文延伸／倫理安全</x:v>
      </x:c>
      <x:c r="H451" s="38" t="str">
        <x:v>狀態機任務 巡邏、發現、追蹤、返回 中文 教學 原理 安全 親子 Arduino robot IoT sensors</x:v>
      </x:c>
      <x:c r="I451" s="38" t="str">
        <x:v>https://www.youtube.com/results?search_query=%E7%8B%80%E6%85%8B%E6%A9%9F%E4%BB%BB%E5%8B%99+%E5%B7%A1%E9%82%8F%E3%80%81%E7%99%BC%E7%8F%BE%E3%80%81%E8%BF%BD%E8%B9%A4%E3%80%81%E8%BF%94%E5%9B%9E+%E4%B8%AD%E6%96%87+%E6%95%99%E5%AD%B8+%E5%8E%9F%E7%90%86+%E5%AE%89%E5%85%A8+%E8%A6%AA%E5%AD%90+Arduino+robot+IoT+sensors</x:v>
      </x:c>
      <x:c r="J451" s="38" t="str">
        <x:v>課後延伸／親子討論</x:v>
      </x:c>
      <x:c r="K451" s="38" t="str">
        <x:v>6–15 分鐘</x:v>
      </x:c>
      <x:c r="L451" s="38" t="str">
        <x:v>補充應用、倫理、安全或真實案例；父子各說一個觀點</x:v>
      </x:c>
      <x:c r="M451" s="38" t="str">
        <x:v>□ 未挑選</x:v>
      </x:c>
      <x:c r="N451" s="38" t="str"/>
      <x:c r="O451" s="38" t="str"/>
    </x:row>
    <x:row r="452">
      <x:c r="A452" s="38" t="n">
        <x:v>151</x:v>
      </x:c>
      <x:c r="B452" s="38" t="str">
        <x:v>第 4 年</x:v>
      </x:c>
      <x:c r="C452" s="38" t="str">
        <x:v>M10 Robot 與 IoT：感知、決策、行動</x:v>
      </x:c>
      <x:c r="D452" s="38" t="n">
        <x:v>7</x:v>
      </x:c>
      <x:c r="E452" s="38" t="str">
        <x:v>藍牙與 Wi‑Fi：遙控不是魔法</x:v>
      </x:c>
      <x:c r="F452" s="38" t="n">
        <x:v>1</x:v>
      </x:c>
      <x:c r="G452" s="38" t="str">
        <x:v>概念入門／官方優先</x:v>
      </x:c>
      <x:c r="H452" s="38" t="str">
        <x:v>藍牙與 Wi‑Fi 遙控不是魔法 Arduino robot IoT sensors beginner tutorial Arduino</x:v>
      </x:c>
      <x:c r="I452" s="38" t="str">
        <x:v>https://www.youtube.com/results?search_query=%E8%97%8D%E7%89%99%E8%88%87+Wi%E2%80%91Fi+%E9%81%99%E6%8E%A7%E4%B8%8D%E6%98%AF%E9%AD%94%E6%B3%95+Arduino+robot+IoT+sensors+beginner+tutorial+Arduino</x:v>
      </x:c>
      <x:c r="J452" s="38" t="str">
        <x:v>課前暖身</x:v>
      </x:c>
      <x:c r="K452" s="38" t="str">
        <x:v>5–12 分鐘</x:v>
      </x:c>
      <x:c r="L452" s="38" t="str">
        <x:v>先建立直覺；看完能說出 3 個關鍵詞</x:v>
      </x:c>
      <x:c r="M452" s="38" t="str">
        <x:v>□ 未挑選</x:v>
      </x:c>
      <x:c r="N452" s="38" t="str"/>
      <x:c r="O452" s="38" t="str"/>
    </x:row>
    <x:row r="453">
      <x:c r="A453" s="38" t="n">
        <x:v>151</x:v>
      </x:c>
      <x:c r="B453" s="38" t="str">
        <x:v>第 4 年</x:v>
      </x:c>
      <x:c r="C453" s="38" t="str">
        <x:v>M10 Robot 與 IoT：感知、決策、行動</x:v>
      </x:c>
      <x:c r="D453" s="38" t="n">
        <x:v>7</x:v>
      </x:c>
      <x:c r="E453" s="38" t="str">
        <x:v>藍牙與 Wi‑Fi：遙控不是魔法</x:v>
      </x:c>
      <x:c r="F453" s="38" t="n">
        <x:v>2</x:v>
      </x:c>
      <x:c r="G453" s="38" t="str">
        <x:v>跟做實作／專案導向</x:v>
      </x:c>
      <x:c r="H453" s="38" t="str">
        <x:v>藍牙與 Wi‑Fi 遙控不是魔法 理解連線、配對、延遲、封包與斷線 hands on project for kids Arduino robot IoT sensors</x:v>
      </x:c>
      <x:c r="I453" s="38" t="str">
        <x:v>https://www.youtube.com/results?search_query=%E8%97%8D%E7%89%99%E8%88%87+Wi%E2%80%91Fi+%E9%81%99%E6%8E%A7%E4%B8%8D%E6%98%AF%E9%AD%94%E6%B3%95+%E7%90%86%E8%A7%A3%E9%80%A3%E7%B7%9A%E3%80%81%E9%85%8D%E5%B0%8D%E3%80%81%E5%BB%B6%E9%81%B2%E3%80%81%E5%B0%81%E5%8C%85%E8%88%87%E6%96%B7%E7%B7%9A+hands+on+project+for+kids+Arduino+robot+IoT+sensors</x:v>
      </x:c>
      <x:c r="J453" s="38" t="str">
        <x:v>課中實作參考</x:v>
      </x:c>
      <x:c r="K453" s="38" t="str">
        <x:v>8–20 分鐘</x:v>
      </x:c>
      <x:c r="L453" s="38" t="str">
        <x:v>優先找有畫面操作、步驟清楚、可暫停跟做的版本</x:v>
      </x:c>
      <x:c r="M453" s="38" t="str">
        <x:v>□ 未挑選</x:v>
      </x:c>
      <x:c r="N453" s="38" t="str"/>
      <x:c r="O453" s="38" t="str"/>
    </x:row>
    <x:row r="454">
      <x:c r="A454" s="38" t="n">
        <x:v>151</x:v>
      </x:c>
      <x:c r="B454" s="38" t="str">
        <x:v>第 4 年</x:v>
      </x:c>
      <x:c r="C454" s="38" t="str">
        <x:v>M10 Robot 與 IoT：感知、決策、行動</x:v>
      </x:c>
      <x:c r="D454" s="38" t="n">
        <x:v>7</x:v>
      </x:c>
      <x:c r="E454" s="38" t="str">
        <x:v>藍牙與 Wi‑Fi：遙控不是魔法</x:v>
      </x:c>
      <x:c r="F454" s="38" t="n">
        <x:v>3</x:v>
      </x:c>
      <x:c r="G454" s="38" t="str">
        <x:v>中文延伸／倫理安全</x:v>
      </x:c>
      <x:c r="H454" s="38" t="str">
        <x:v>藍牙與 Wi‑Fi 遙控不是魔法 中文 教學 原理 安全 親子 Arduino robot IoT sensors</x:v>
      </x:c>
      <x:c r="I454" s="38" t="str">
        <x:v>https://www.youtube.com/results?search_query=%E8%97%8D%E7%89%99%E8%88%87+Wi%E2%80%91Fi+%E9%81%99%E6%8E%A7%E4%B8%8D%E6%98%AF%E9%AD%94%E6%B3%95+%E4%B8%AD%E6%96%87+%E6%95%99%E5%AD%B8+%E5%8E%9F%E7%90%86+%E5%AE%89%E5%85%A8+%E8%A6%AA%E5%AD%90+Arduino+robot+IoT+sensors</x:v>
      </x:c>
      <x:c r="J454" s="38" t="str">
        <x:v>課後延伸／親子討論</x:v>
      </x:c>
      <x:c r="K454" s="38" t="str">
        <x:v>6–15 分鐘</x:v>
      </x:c>
      <x:c r="L454" s="38" t="str">
        <x:v>補充應用、倫理、安全或真實案例；父子各說一個觀點</x:v>
      </x:c>
      <x:c r="M454" s="38" t="str">
        <x:v>□ 未挑選</x:v>
      </x:c>
      <x:c r="N454" s="38" t="str"/>
      <x:c r="O454" s="38" t="str"/>
    </x:row>
    <x:row r="455">
      <x:c r="A455" s="38" t="n">
        <x:v>152</x:v>
      </x:c>
      <x:c r="B455" s="38" t="str">
        <x:v>第 4 年</x:v>
      </x:c>
      <x:c r="C455" s="38" t="str">
        <x:v>M10 Robot 與 IoT：感知、決策、行動</x:v>
      </x:c>
      <x:c r="D455" s="38" t="n">
        <x:v>8</x:v>
      </x:c>
      <x:c r="E455" s="38" t="str">
        <x:v>MQTT 與訊息主題</x:v>
      </x:c>
      <x:c r="F455" s="38" t="n">
        <x:v>1</x:v>
      </x:c>
      <x:c r="G455" s="38" t="str">
        <x:v>概念入門／官方優先</x:v>
      </x:c>
      <x:c r="H455" s="38" t="str">
        <x:v>MQTT 與訊息主題 Arduino robot IoT sensors beginner tutorial Arduino</x:v>
      </x:c>
      <x:c r="I455" s="38" t="str">
        <x:v>https://www.youtube.com/results?search_query=MQTT+%E8%88%87%E8%A8%8A%E6%81%AF%E4%B8%BB%E9%A1%8C+Arduino+robot+IoT+sensors+beginner+tutorial+Arduino</x:v>
      </x:c>
      <x:c r="J455" s="38" t="str">
        <x:v>課前暖身</x:v>
      </x:c>
      <x:c r="K455" s="38" t="str">
        <x:v>5–12 分鐘</x:v>
      </x:c>
      <x:c r="L455" s="38" t="str">
        <x:v>先建立直覺；看完能說出 3 個關鍵詞</x:v>
      </x:c>
      <x:c r="M455" s="38" t="str">
        <x:v>□ 未挑選</x:v>
      </x:c>
      <x:c r="N455" s="38" t="str"/>
      <x:c r="O455" s="38" t="str"/>
    </x:row>
    <x:row r="456">
      <x:c r="A456" s="38" t="n">
        <x:v>152</x:v>
      </x:c>
      <x:c r="B456" s="38" t="str">
        <x:v>第 4 年</x:v>
      </x:c>
      <x:c r="C456" s="38" t="str">
        <x:v>M10 Robot 與 IoT：感知、決策、行動</x:v>
      </x:c>
      <x:c r="D456" s="38" t="n">
        <x:v>8</x:v>
      </x:c>
      <x:c r="E456" s="38" t="str">
        <x:v>MQTT 與訊息主題</x:v>
      </x:c>
      <x:c r="F456" s="38" t="n">
        <x:v>2</x:v>
      </x:c>
      <x:c r="G456" s="38" t="str">
        <x:v>跟做實作／專案導向</x:v>
      </x:c>
      <x:c r="H456" s="38" t="str">
        <x:v>MQTT 與訊息主題 理解 publish/subscribe、topic 與鬆耦合 hands on project for kids Arduino robot IoT sensors</x:v>
      </x:c>
      <x:c r="I456" s="38" t="str">
        <x:v>https://www.youtube.com/results?search_query=MQTT+%E8%88%87%E8%A8%8A%E6%81%AF%E4%B8%BB%E9%A1%8C+%E7%90%86%E8%A7%A3+publish%2Fsubscribe%E3%80%81topic+%E8%88%87%E9%AC%86%E8%80%A6%E5%90%88+hands+on+project+for+kids+Arduino+robot+IoT+sensors</x:v>
      </x:c>
      <x:c r="J456" s="38" t="str">
        <x:v>課中實作參考</x:v>
      </x:c>
      <x:c r="K456" s="38" t="str">
        <x:v>8–20 分鐘</x:v>
      </x:c>
      <x:c r="L456" s="38" t="str">
        <x:v>優先找有畫面操作、步驟清楚、可暫停跟做的版本</x:v>
      </x:c>
      <x:c r="M456" s="38" t="str">
        <x:v>□ 未挑選</x:v>
      </x:c>
      <x:c r="N456" s="38" t="str"/>
      <x:c r="O456" s="38" t="str"/>
    </x:row>
    <x:row r="457">
      <x:c r="A457" s="38" t="n">
        <x:v>152</x:v>
      </x:c>
      <x:c r="B457" s="38" t="str">
        <x:v>第 4 年</x:v>
      </x:c>
      <x:c r="C457" s="38" t="str">
        <x:v>M10 Robot 與 IoT：感知、決策、行動</x:v>
      </x:c>
      <x:c r="D457" s="38" t="n">
        <x:v>8</x:v>
      </x:c>
      <x:c r="E457" s="38" t="str">
        <x:v>MQTT 與訊息主題</x:v>
      </x:c>
      <x:c r="F457" s="38" t="n">
        <x:v>3</x:v>
      </x:c>
      <x:c r="G457" s="38" t="str">
        <x:v>中文延伸／倫理安全</x:v>
      </x:c>
      <x:c r="H457" s="38" t="str">
        <x:v>MQTT 與訊息主題 中文 教學 原理 安全 親子 Arduino robot IoT sensors</x:v>
      </x:c>
      <x:c r="I457" s="38" t="str">
        <x:v>https://www.youtube.com/results?search_query=MQTT+%E8%88%87%E8%A8%8A%E6%81%AF%E4%B8%BB%E9%A1%8C+%E4%B8%AD%E6%96%87+%E6%95%99%E5%AD%B8+%E5%8E%9F%E7%90%86+%E5%AE%89%E5%85%A8+%E8%A6%AA%E5%AD%90+Arduino+robot+IoT+sensors</x:v>
      </x:c>
      <x:c r="J457" s="38" t="str">
        <x:v>課後延伸／親子討論</x:v>
      </x:c>
      <x:c r="K457" s="38" t="str">
        <x:v>6–15 分鐘</x:v>
      </x:c>
      <x:c r="L457" s="38" t="str">
        <x:v>補充應用、倫理、安全或真實案例；父子各說一個觀點</x:v>
      </x:c>
      <x:c r="M457" s="38" t="str">
        <x:v>□ 未挑選</x:v>
      </x:c>
      <x:c r="N457" s="38" t="str"/>
      <x:c r="O457" s="38" t="str"/>
    </x:row>
    <x:row r="458">
      <x:c r="A458" s="38" t="n">
        <x:v>153</x:v>
      </x:c>
      <x:c r="B458" s="38" t="str">
        <x:v>第 4 年</x:v>
      </x:c>
      <x:c r="C458" s="38" t="str">
        <x:v>M10 Robot 與 IoT：感知、決策、行動</x:v>
      </x:c>
      <x:c r="D458" s="38" t="n">
        <x:v>9</x:v>
      </x:c>
      <x:c r="E458" s="38" t="str">
        <x:v>智慧家庭與 Home Automation 思維</x:v>
      </x:c>
      <x:c r="F458" s="38" t="n">
        <x:v>1</x:v>
      </x:c>
      <x:c r="G458" s="38" t="str">
        <x:v>概念入門／官方優先</x:v>
      </x:c>
      <x:c r="H458" s="38" t="str">
        <x:v>智慧家庭與 Home Automation 思維 Arduino robot IoT sensors beginner tutorial Arduino</x:v>
      </x:c>
      <x:c r="I458" s="38" t="str">
        <x:v>https://www.youtube.com/results?search_query=%E6%99%BA%E6%85%A7%E5%AE%B6%E5%BA%AD%E8%88%87+Home+Automation+%E6%80%9D%E7%B6%AD+Arduino+robot+IoT+sensors+beginner+tutorial+Arduino</x:v>
      </x:c>
      <x:c r="J458" s="38" t="str">
        <x:v>課前暖身</x:v>
      </x:c>
      <x:c r="K458" s="38" t="str">
        <x:v>5–12 分鐘</x:v>
      </x:c>
      <x:c r="L458" s="38" t="str">
        <x:v>先建立直覺；看完能說出 3 個關鍵詞</x:v>
      </x:c>
      <x:c r="M458" s="38" t="str">
        <x:v>□ 未挑選</x:v>
      </x:c>
      <x:c r="N458" s="38" t="str"/>
      <x:c r="O458" s="38" t="str"/>
    </x:row>
    <x:row r="459">
      <x:c r="A459" s="38" t="n">
        <x:v>153</x:v>
      </x:c>
      <x:c r="B459" s="38" t="str">
        <x:v>第 4 年</x:v>
      </x:c>
      <x:c r="C459" s="38" t="str">
        <x:v>M10 Robot 與 IoT：感知、決策、行動</x:v>
      </x:c>
      <x:c r="D459" s="38" t="n">
        <x:v>9</x:v>
      </x:c>
      <x:c r="E459" s="38" t="str">
        <x:v>智慧家庭與 Home Automation 思維</x:v>
      </x:c>
      <x:c r="F459" s="38" t="n">
        <x:v>2</x:v>
      </x:c>
      <x:c r="G459" s="38" t="str">
        <x:v>跟做實作／專案導向</x:v>
      </x:c>
      <x:c r="H459" s="38" t="str">
        <x:v>智慧家庭與 Home Automation 思維 區分感測、規則、排程、通知與人工覆寫 hands on project for kids Arduino robot IoT sensors</x:v>
      </x:c>
      <x:c r="I459" s="38" t="str">
        <x:v>https://www.youtube.com/results?search_query=%E6%99%BA%E6%85%A7%E5%AE%B6%E5%BA%AD%E8%88%87+Home+Automation+%E6%80%9D%E7%B6%AD+%E5%8D%80%E5%88%86%E6%84%9F%E6%B8%AC%E3%80%81%E8%A6%8F%E5%89%87%E3%80%81%E6%8E%92%E7%A8%8B%E3%80%81%E9%80%9A%E7%9F%A5%E8%88%87%E4%BA%BA%E5%B7%A5%E8%A6%86%E5%AF%AB+hands+on+project+for+kids+Arduino+robot+IoT+sensors</x:v>
      </x:c>
      <x:c r="J459" s="38" t="str">
        <x:v>課中實作參考</x:v>
      </x:c>
      <x:c r="K459" s="38" t="str">
        <x:v>8–20 分鐘</x:v>
      </x:c>
      <x:c r="L459" s="38" t="str">
        <x:v>優先找有畫面操作、步驟清楚、可暫停跟做的版本</x:v>
      </x:c>
      <x:c r="M459" s="38" t="str">
        <x:v>□ 未挑選</x:v>
      </x:c>
      <x:c r="N459" s="38" t="str"/>
      <x:c r="O459" s="38" t="str"/>
    </x:row>
    <x:row r="460">
      <x:c r="A460" s="38" t="n">
        <x:v>153</x:v>
      </x:c>
      <x:c r="B460" s="38" t="str">
        <x:v>第 4 年</x:v>
      </x:c>
      <x:c r="C460" s="38" t="str">
        <x:v>M10 Robot 與 IoT：感知、決策、行動</x:v>
      </x:c>
      <x:c r="D460" s="38" t="n">
        <x:v>9</x:v>
      </x:c>
      <x:c r="E460" s="38" t="str">
        <x:v>智慧家庭與 Home Automation 思維</x:v>
      </x:c>
      <x:c r="F460" s="38" t="n">
        <x:v>3</x:v>
      </x:c>
      <x:c r="G460" s="38" t="str">
        <x:v>中文延伸／倫理安全</x:v>
      </x:c>
      <x:c r="H460" s="38" t="str">
        <x:v>智慧家庭與 Home Automation 思維 中文 教學 原理 安全 親子 Arduino robot IoT sensors</x:v>
      </x:c>
      <x:c r="I460" s="38" t="str">
        <x:v>https://www.youtube.com/results?search_query=%E6%99%BA%E6%85%A7%E5%AE%B6%E5%BA%AD%E8%88%87+Home+Automation+%E6%80%9D%E7%B6%AD+%E4%B8%AD%E6%96%87+%E6%95%99%E5%AD%B8+%E5%8E%9F%E7%90%86+%E5%AE%89%E5%85%A8+%E8%A6%AA%E5%AD%90+Arduino+robot+IoT+sensors</x:v>
      </x:c>
      <x:c r="J460" s="38" t="str">
        <x:v>課後延伸／親子討論</x:v>
      </x:c>
      <x:c r="K460" s="38" t="str">
        <x:v>6–15 分鐘</x:v>
      </x:c>
      <x:c r="L460" s="38" t="str">
        <x:v>補充應用、倫理、安全或真實案例；父子各說一個觀點</x:v>
      </x:c>
      <x:c r="M460" s="38" t="str">
        <x:v>□ 未挑選</x:v>
      </x:c>
      <x:c r="N460" s="38" t="str"/>
      <x:c r="O460" s="38" t="str"/>
    </x:row>
    <x:row r="461">
      <x:c r="A461" s="38" t="n">
        <x:v>154</x:v>
      </x:c>
      <x:c r="B461" s="38" t="str">
        <x:v>第 4 年</x:v>
      </x:c>
      <x:c r="C461" s="38" t="str">
        <x:v>M10 Robot 與 IoT：感知、決策、行動</x:v>
      </x:c>
      <x:c r="D461" s="38" t="n">
        <x:v>10</x:v>
      </x:c>
      <x:c r="E461" s="38" t="str">
        <x:v>機器視覺：看見不等於理解</x:v>
      </x:c>
      <x:c r="F461" s="38" t="n">
        <x:v>1</x:v>
      </x:c>
      <x:c r="G461" s="38" t="str">
        <x:v>概念入門／官方優先</x:v>
      </x:c>
      <x:c r="H461" s="38" t="str">
        <x:v>機器視覺 看見不等於理解 Arduino robot IoT sensors beginner tutorial Arduino</x:v>
      </x:c>
      <x:c r="I461" s="38" t="str">
        <x:v>https://www.youtube.com/results?search_query=%E6%A9%9F%E5%99%A8%E8%A6%96%E8%A6%BA+%E7%9C%8B%E8%A6%8B%E4%B8%8D%E7%AD%89%E6%96%BC%E7%90%86%E8%A7%A3+Arduino+robot+IoT+sensors+beginner+tutorial+Arduino</x:v>
      </x:c>
      <x:c r="J461" s="38" t="str">
        <x:v>課前暖身</x:v>
      </x:c>
      <x:c r="K461" s="38" t="str">
        <x:v>5–12 分鐘</x:v>
      </x:c>
      <x:c r="L461" s="38" t="str">
        <x:v>先建立直覺；看完能說出 3 個關鍵詞</x:v>
      </x:c>
      <x:c r="M461" s="38" t="str">
        <x:v>□ 未挑選</x:v>
      </x:c>
      <x:c r="N461" s="38" t="str"/>
      <x:c r="O461" s="38" t="str"/>
    </x:row>
    <x:row r="462">
      <x:c r="A462" s="38" t="n">
        <x:v>154</x:v>
      </x:c>
      <x:c r="B462" s="38" t="str">
        <x:v>第 4 年</x:v>
      </x:c>
      <x:c r="C462" s="38" t="str">
        <x:v>M10 Robot 與 IoT：感知、決策、行動</x:v>
      </x:c>
      <x:c r="D462" s="38" t="n">
        <x:v>10</x:v>
      </x:c>
      <x:c r="E462" s="38" t="str">
        <x:v>機器視覺：看見不等於理解</x:v>
      </x:c>
      <x:c r="F462" s="38" t="n">
        <x:v>2</x:v>
      </x:c>
      <x:c r="G462" s="38" t="str">
        <x:v>跟做實作／專案導向</x:v>
      </x:c>
      <x:c r="H462" s="38" t="str">
        <x:v>機器視覺 看見不等於理解 理解影像輸入、偵測/分類、光線與隱私限制 hands on project for kids Arduino robot IoT sensors</x:v>
      </x:c>
      <x:c r="I462" s="38" t="str">
        <x:v>https://www.youtube.com/results?search_query=%E6%A9%9F%E5%99%A8%E8%A6%96%E8%A6%BA+%E7%9C%8B%E8%A6%8B%E4%B8%8D%E7%AD%89%E6%96%BC%E7%90%86%E8%A7%A3+%E7%90%86%E8%A7%A3%E5%BD%B1%E5%83%8F%E8%BC%B8%E5%85%A5%E3%80%81%E5%81%B5%E6%B8%AC%2F%E5%88%86%E9%A1%9E%E3%80%81%E5%85%89%E7%B7%9A%E8%88%87%E9%9A%B1%E7%A7%81%E9%99%90%E5%88%B6+hands+on+project+for+kids+Arduino+robot+IoT+sensors</x:v>
      </x:c>
      <x:c r="J462" s="38" t="str">
        <x:v>課中實作參考</x:v>
      </x:c>
      <x:c r="K462" s="38" t="str">
        <x:v>8–20 分鐘</x:v>
      </x:c>
      <x:c r="L462" s="38" t="str">
        <x:v>優先找有畫面操作、步驟清楚、可暫停跟做的版本</x:v>
      </x:c>
      <x:c r="M462" s="38" t="str">
        <x:v>□ 未挑選</x:v>
      </x:c>
      <x:c r="N462" s="38" t="str"/>
      <x:c r="O462" s="38" t="str"/>
    </x:row>
    <x:row r="463">
      <x:c r="A463" s="38" t="n">
        <x:v>154</x:v>
      </x:c>
      <x:c r="B463" s="38" t="str">
        <x:v>第 4 年</x:v>
      </x:c>
      <x:c r="C463" s="38" t="str">
        <x:v>M10 Robot 與 IoT：感知、決策、行動</x:v>
      </x:c>
      <x:c r="D463" s="38" t="n">
        <x:v>10</x:v>
      </x:c>
      <x:c r="E463" s="38" t="str">
        <x:v>機器視覺：看見不等於理解</x:v>
      </x:c>
      <x:c r="F463" s="38" t="n">
        <x:v>3</x:v>
      </x:c>
      <x:c r="G463" s="38" t="str">
        <x:v>中文延伸／倫理安全</x:v>
      </x:c>
      <x:c r="H463" s="38" t="str">
        <x:v>機器視覺 看見不等於理解 中文 教學 原理 安全 親子 Arduino robot IoT sensors</x:v>
      </x:c>
      <x:c r="I463" s="38" t="str">
        <x:v>https://www.youtube.com/results?search_query=%E6%A9%9F%E5%99%A8%E8%A6%96%E8%A6%BA+%E7%9C%8B%E8%A6%8B%E4%B8%8D%E7%AD%89%E6%96%BC%E7%90%86%E8%A7%A3+%E4%B8%AD%E6%96%87+%E6%95%99%E5%AD%B8+%E5%8E%9F%E7%90%86+%E5%AE%89%E5%85%A8+%E8%A6%AA%E5%AD%90+Arduino+robot+IoT+sensors</x:v>
      </x:c>
      <x:c r="J463" s="38" t="str">
        <x:v>課後延伸／親子討論</x:v>
      </x:c>
      <x:c r="K463" s="38" t="str">
        <x:v>6–15 分鐘</x:v>
      </x:c>
      <x:c r="L463" s="38" t="str">
        <x:v>補充應用、倫理、安全或真實案例；父子各說一個觀點</x:v>
      </x:c>
      <x:c r="M463" s="38" t="str">
        <x:v>□ 未挑選</x:v>
      </x:c>
      <x:c r="N463" s="38" t="str"/>
      <x:c r="O463" s="38" t="str"/>
    </x:row>
    <x:row r="464">
      <x:c r="A464" s="38" t="n">
        <x:v>155</x:v>
      </x:c>
      <x:c r="B464" s="38" t="str">
        <x:v>第 4 年</x:v>
      </x:c>
      <x:c r="C464" s="38" t="str">
        <x:v>M10 Robot 與 IoT：感知、決策、行動</x:v>
      </x:c>
      <x:c r="D464" s="38" t="n">
        <x:v>11</x:v>
      </x:c>
      <x:c r="E464" s="38" t="str">
        <x:v>語音介面：聽錯時怎麼辦</x:v>
      </x:c>
      <x:c r="F464" s="38" t="n">
        <x:v>1</x:v>
      </x:c>
      <x:c r="G464" s="38" t="str">
        <x:v>概念入門／官方優先</x:v>
      </x:c>
      <x:c r="H464" s="38" t="str">
        <x:v>語音介面 聽錯時怎麼辦 Arduino robot IoT sensors beginner tutorial Arduino</x:v>
      </x:c>
      <x:c r="I464" s="38" t="str">
        <x:v>https://www.youtube.com/results?search_query=%E8%AA%9E%E9%9F%B3%E4%BB%8B%E9%9D%A2+%E8%81%BD%E9%8C%AF%E6%99%82%E6%80%8E%E9%BA%BC%E8%BE%A6+Arduino+robot+IoT+sensors+beginner+tutorial+Arduino</x:v>
      </x:c>
      <x:c r="J464" s="38" t="str">
        <x:v>課前暖身</x:v>
      </x:c>
      <x:c r="K464" s="38" t="str">
        <x:v>5–12 分鐘</x:v>
      </x:c>
      <x:c r="L464" s="38" t="str">
        <x:v>先建立直覺；看完能說出 3 個關鍵詞</x:v>
      </x:c>
      <x:c r="M464" s="38" t="str">
        <x:v>□ 未挑選</x:v>
      </x:c>
      <x:c r="N464" s="38" t="str"/>
      <x:c r="O464" s="38" t="str"/>
    </x:row>
    <x:row r="465">
      <x:c r="A465" s="38" t="n">
        <x:v>155</x:v>
      </x:c>
      <x:c r="B465" s="38" t="str">
        <x:v>第 4 年</x:v>
      </x:c>
      <x:c r="C465" s="38" t="str">
        <x:v>M10 Robot 與 IoT：感知、決策、行動</x:v>
      </x:c>
      <x:c r="D465" s="38" t="n">
        <x:v>11</x:v>
      </x:c>
      <x:c r="E465" s="38" t="str">
        <x:v>語音介面：聽錯時怎麼辦</x:v>
      </x:c>
      <x:c r="F465" s="38" t="n">
        <x:v>2</x:v>
      </x:c>
      <x:c r="G465" s="38" t="str">
        <x:v>跟做實作／專案導向</x:v>
      </x:c>
      <x:c r="H465" s="38" t="str">
        <x:v>語音介面 聽錯時怎麼辦 設計喚醒、意圖、確認與錯誤恢復 hands on project for kids Arduino robot IoT sensors</x:v>
      </x:c>
      <x:c r="I465" s="38" t="str">
        <x:v>https://www.youtube.com/results?search_query=%E8%AA%9E%E9%9F%B3%E4%BB%8B%E9%9D%A2+%E8%81%BD%E9%8C%AF%E6%99%82%E6%80%8E%E9%BA%BC%E8%BE%A6+%E8%A8%AD%E8%A8%88%E5%96%9A%E9%86%92%E3%80%81%E6%84%8F%E5%9C%96%E3%80%81%E7%A2%BA%E8%AA%8D%E8%88%87%E9%8C%AF%E8%AA%A4%E6%81%A2%E5%BE%A9+hands+on+project+for+kids+Arduino+robot+IoT+sensors</x:v>
      </x:c>
      <x:c r="J465" s="38" t="str">
        <x:v>課中實作參考</x:v>
      </x:c>
      <x:c r="K465" s="38" t="str">
        <x:v>8–20 分鐘</x:v>
      </x:c>
      <x:c r="L465" s="38" t="str">
        <x:v>優先找有畫面操作、步驟清楚、可暫停跟做的版本</x:v>
      </x:c>
      <x:c r="M465" s="38" t="str">
        <x:v>□ 未挑選</x:v>
      </x:c>
      <x:c r="N465" s="38" t="str"/>
      <x:c r="O465" s="38" t="str"/>
    </x:row>
    <x:row r="466">
      <x:c r="A466" s="38" t="n">
        <x:v>155</x:v>
      </x:c>
      <x:c r="B466" s="38" t="str">
        <x:v>第 4 年</x:v>
      </x:c>
      <x:c r="C466" s="38" t="str">
        <x:v>M10 Robot 與 IoT：感知、決策、行動</x:v>
      </x:c>
      <x:c r="D466" s="38" t="n">
        <x:v>11</x:v>
      </x:c>
      <x:c r="E466" s="38" t="str">
        <x:v>語音介面：聽錯時怎麼辦</x:v>
      </x:c>
      <x:c r="F466" s="38" t="n">
        <x:v>3</x:v>
      </x:c>
      <x:c r="G466" s="38" t="str">
        <x:v>中文延伸／倫理安全</x:v>
      </x:c>
      <x:c r="H466" s="38" t="str">
        <x:v>語音介面 聽錯時怎麼辦 中文 教學 原理 安全 親子 Arduino robot IoT sensors</x:v>
      </x:c>
      <x:c r="I466" s="38" t="str">
        <x:v>https://www.youtube.com/results?search_query=%E8%AA%9E%E9%9F%B3%E4%BB%8B%E9%9D%A2+%E8%81%BD%E9%8C%AF%E6%99%82%E6%80%8E%E9%BA%BC%E8%BE%A6+%E4%B8%AD%E6%96%87+%E6%95%99%E5%AD%B8+%E5%8E%9F%E7%90%86+%E5%AE%89%E5%85%A8+%E8%A6%AA%E5%AD%90+Arduino+robot+IoT+sensors</x:v>
      </x:c>
      <x:c r="J466" s="38" t="str">
        <x:v>課後延伸／親子討論</x:v>
      </x:c>
      <x:c r="K466" s="38" t="str">
        <x:v>6–15 分鐘</x:v>
      </x:c>
      <x:c r="L466" s="38" t="str">
        <x:v>補充應用、倫理、安全或真實案例；父子各說一個觀點</x:v>
      </x:c>
      <x:c r="M466" s="38" t="str">
        <x:v>□ 未挑選</x:v>
      </x:c>
      <x:c r="N466" s="38" t="str"/>
      <x:c r="O466" s="38" t="str"/>
    </x:row>
    <x:row r="467">
      <x:c r="A467" s="38" t="n">
        <x:v>156</x:v>
      </x:c>
      <x:c r="B467" s="38" t="str">
        <x:v>第 4 年</x:v>
      </x:c>
      <x:c r="C467" s="38" t="str">
        <x:v>M10 Robot 與 IoT：感知、決策、行動</x:v>
      </x:c>
      <x:c r="D467" s="38" t="n">
        <x:v>12</x:v>
      </x:c>
      <x:c r="E467" s="38" t="str">
        <x:v>Fail-safe：機器人首先不能傷人</x:v>
      </x:c>
      <x:c r="F467" s="38" t="n">
        <x:v>1</x:v>
      </x:c>
      <x:c r="G467" s="38" t="str">
        <x:v>概念入門／官方優先</x:v>
      </x:c>
      <x:c r="H467" s="38" t="str">
        <x:v>Fail safe 機器人首先不能傷人 Arduino robot IoT sensors beginner tutorial Arduino</x:v>
      </x:c>
      <x:c r="I467" s="38" t="str">
        <x:v>https://www.youtube.com/results?search_query=Fail+safe+%E6%A9%9F%E5%99%A8%E4%BA%BA%E9%A6%96%E5%85%88%E4%B8%8D%E8%83%BD%E5%82%B7%E4%BA%BA+Arduino+robot+IoT+sensors+beginner+tutorial+Arduino</x:v>
      </x:c>
      <x:c r="J467" s="38" t="str">
        <x:v>課前暖身</x:v>
      </x:c>
      <x:c r="K467" s="38" t="str">
        <x:v>5–12 分鐘</x:v>
      </x:c>
      <x:c r="L467" s="38" t="str">
        <x:v>先建立直覺；看完能說出 3 個關鍵詞</x:v>
      </x:c>
      <x:c r="M467" s="38" t="str">
        <x:v>□ 未挑選</x:v>
      </x:c>
      <x:c r="N467" s="38" t="str"/>
      <x:c r="O467" s="38" t="str"/>
    </x:row>
    <x:row r="468">
      <x:c r="A468" s="38" t="n">
        <x:v>156</x:v>
      </x:c>
      <x:c r="B468" s="38" t="str">
        <x:v>第 4 年</x:v>
      </x:c>
      <x:c r="C468" s="38" t="str">
        <x:v>M10 Robot 與 IoT：感知、決策、行動</x:v>
      </x:c>
      <x:c r="D468" s="38" t="n">
        <x:v>12</x:v>
      </x:c>
      <x:c r="E468" s="38" t="str">
        <x:v>Fail-safe：機器人首先不能傷人</x:v>
      </x:c>
      <x:c r="F468" s="38" t="n">
        <x:v>2</x:v>
      </x:c>
      <x:c r="G468" s="38" t="str">
        <x:v>跟做實作／專案導向</x:v>
      </x:c>
      <x:c r="H468" s="38" t="str">
        <x:v>Fail safe 機器人首先不能傷人 建立急停、速度限制、超時、邊界與降級模式 hands on project for kids Arduino robot IoT sensors</x:v>
      </x:c>
      <x:c r="I468" s="38" t="str">
        <x:v>https://www.youtube.com/results?search_query=Fail+safe+%E6%A9%9F%E5%99%A8%E4%BA%BA%E9%A6%96%E5%85%88%E4%B8%8D%E8%83%BD%E5%82%B7%E4%BA%BA+%E5%BB%BA%E7%AB%8B%E6%80%A5%E5%81%9C%E3%80%81%E9%80%9F%E5%BA%A6%E9%99%90%E5%88%B6%E3%80%81%E8%B6%85%E6%99%82%E3%80%81%E9%82%8A%E7%95%8C%E8%88%87%E9%99%8D%E7%B4%9A%E6%A8%A1%E5%BC%8F+hands+on+project+for+kids+Arduino+robot+IoT+sensors</x:v>
      </x:c>
      <x:c r="J468" s="38" t="str">
        <x:v>課中實作參考</x:v>
      </x:c>
      <x:c r="K468" s="38" t="str">
        <x:v>8–20 分鐘</x:v>
      </x:c>
      <x:c r="L468" s="38" t="str">
        <x:v>優先找有畫面操作、步驟清楚、可暫停跟做的版本</x:v>
      </x:c>
      <x:c r="M468" s="38" t="str">
        <x:v>□ 未挑選</x:v>
      </x:c>
      <x:c r="N468" s="38" t="str"/>
      <x:c r="O468" s="38" t="str"/>
    </x:row>
    <x:row r="469">
      <x:c r="A469" s="38" t="n">
        <x:v>156</x:v>
      </x:c>
      <x:c r="B469" s="38" t="str">
        <x:v>第 4 年</x:v>
      </x:c>
      <x:c r="C469" s="38" t="str">
        <x:v>M10 Robot 與 IoT：感知、決策、行動</x:v>
      </x:c>
      <x:c r="D469" s="38" t="n">
        <x:v>12</x:v>
      </x:c>
      <x:c r="E469" s="38" t="str">
        <x:v>Fail-safe：機器人首先不能傷人</x:v>
      </x:c>
      <x:c r="F469" s="38" t="n">
        <x:v>3</x:v>
      </x:c>
      <x:c r="G469" s="38" t="str">
        <x:v>中文延伸／倫理安全</x:v>
      </x:c>
      <x:c r="H469" s="38" t="str">
        <x:v>Fail safe 機器人首先不能傷人 中文 教學 原理 安全 親子 Arduino robot IoT sensors</x:v>
      </x:c>
      <x:c r="I469" s="38" t="str">
        <x:v>https://www.youtube.com/results?search_query=Fail+safe+%E6%A9%9F%E5%99%A8%E4%BA%BA%E9%A6%96%E5%85%88%E4%B8%8D%E8%83%BD%E5%82%B7%E4%BA%BA+%E4%B8%AD%E6%96%87+%E6%95%99%E5%AD%B8+%E5%8E%9F%E7%90%86+%E5%AE%89%E5%85%A8+%E8%A6%AA%E5%AD%90+Arduino+robot+IoT+sensors</x:v>
      </x:c>
      <x:c r="J469" s="38" t="str">
        <x:v>課後延伸／親子討論</x:v>
      </x:c>
      <x:c r="K469" s="38" t="str">
        <x:v>6–15 分鐘</x:v>
      </x:c>
      <x:c r="L469" s="38" t="str">
        <x:v>補充應用、倫理、安全或真實案例；父子各說一個觀點</x:v>
      </x:c>
      <x:c r="M469" s="38" t="str">
        <x:v>□ 未挑選</x:v>
      </x:c>
      <x:c r="N469" s="38" t="str"/>
      <x:c r="O469" s="38" t="str"/>
    </x:row>
    <x:row r="470">
      <x:c r="A470" s="38" t="n">
        <x:v>157</x:v>
      </x:c>
      <x:c r="B470" s="38" t="str">
        <x:v>第 4 年</x:v>
      </x:c>
      <x:c r="C470" s="38" t="str">
        <x:v>M10 Robot 與 IoT：感知、決策、行動</x:v>
      </x:c>
      <x:c r="D470" s="38" t="n">
        <x:v>13</x:v>
      </x:c>
      <x:c r="E470" s="38" t="str">
        <x:v>Robot Mission 企劃</x:v>
      </x:c>
      <x:c r="F470" s="38" t="n">
        <x:v>1</x:v>
      </x:c>
      <x:c r="G470" s="38" t="str">
        <x:v>概念入門／官方優先</x:v>
      </x:c>
      <x:c r="H470" s="38" t="str">
        <x:v>Robot Mission 企劃 Arduino robot IoT sensors beginner tutorial Arduino</x:v>
      </x:c>
      <x:c r="I470" s="38" t="str">
        <x:v>https://www.youtube.com/results?search_query=Robot+Mission+%E4%BC%81%E5%8A%83+Arduino+robot+IoT+sensors+beginner+tutorial+Arduino</x:v>
      </x:c>
      <x:c r="J470" s="38" t="str">
        <x:v>課前暖身</x:v>
      </x:c>
      <x:c r="K470" s="38" t="str">
        <x:v>5–12 分鐘</x:v>
      </x:c>
      <x:c r="L470" s="38" t="str">
        <x:v>先建立直覺；看完能說出 3 個關鍵詞</x:v>
      </x:c>
      <x:c r="M470" s="38" t="str">
        <x:v>□ 未挑選</x:v>
      </x:c>
      <x:c r="N470" s="38" t="str"/>
      <x:c r="O470" s="38" t="str"/>
    </x:row>
    <x:row r="471">
      <x:c r="A471" s="38" t="n">
        <x:v>157</x:v>
      </x:c>
      <x:c r="B471" s="38" t="str">
        <x:v>第 4 年</x:v>
      </x:c>
      <x:c r="C471" s="38" t="str">
        <x:v>M10 Robot 與 IoT：感知、決策、行動</x:v>
      </x:c>
      <x:c r="D471" s="38" t="n">
        <x:v>13</x:v>
      </x:c>
      <x:c r="E471" s="38" t="str">
        <x:v>Robot Mission 企劃</x:v>
      </x:c>
      <x:c r="F471" s="38" t="n">
        <x:v>2</x:v>
      </x:c>
      <x:c r="G471" s="38" t="str">
        <x:v>跟做實作／專案導向</x:v>
      </x:c>
      <x:c r="H471" s="38" t="str">
        <x:v>Robot Mission 企劃 從使用情境定義任務、場地、成功率與限制 hands on project for kids Arduino robot IoT sensors</x:v>
      </x:c>
      <x:c r="I471" s="38" t="str">
        <x:v>https://www.youtube.com/results?search_query=Robot+Mission+%E4%BC%81%E5%8A%83+%E5%BE%9E%E4%BD%BF%E7%94%A8%E6%83%85%E5%A2%83%E5%AE%9A%E7%BE%A9%E4%BB%BB%E5%8B%99%E3%80%81%E5%A0%B4%E5%9C%B0%E3%80%81%E6%88%90%E5%8A%9F%E7%8E%87%E8%88%87%E9%99%90%E5%88%B6+hands+on+project+for+kids+Arduino+robot+IoT+sensors</x:v>
      </x:c>
      <x:c r="J471" s="38" t="str">
        <x:v>課中實作參考</x:v>
      </x:c>
      <x:c r="K471" s="38" t="str">
        <x:v>8–20 分鐘</x:v>
      </x:c>
      <x:c r="L471" s="38" t="str">
        <x:v>優先找有畫面操作、步驟清楚、可暫停跟做的版本</x:v>
      </x:c>
      <x:c r="M471" s="38" t="str">
        <x:v>□ 未挑選</x:v>
      </x:c>
      <x:c r="N471" s="38" t="str"/>
      <x:c r="O471" s="38" t="str"/>
    </x:row>
    <x:row r="472">
      <x:c r="A472" s="38" t="n">
        <x:v>157</x:v>
      </x:c>
      <x:c r="B472" s="38" t="str">
        <x:v>第 4 年</x:v>
      </x:c>
      <x:c r="C472" s="38" t="str">
        <x:v>M10 Robot 與 IoT：感知、決策、行動</x:v>
      </x:c>
      <x:c r="D472" s="38" t="n">
        <x:v>13</x:v>
      </x:c>
      <x:c r="E472" s="38" t="str">
        <x:v>Robot Mission 企劃</x:v>
      </x:c>
      <x:c r="F472" s="38" t="n">
        <x:v>3</x:v>
      </x:c>
      <x:c r="G472" s="38" t="str">
        <x:v>中文延伸／倫理安全</x:v>
      </x:c>
      <x:c r="H472" s="38" t="str">
        <x:v>Robot Mission 企劃 中文 教學 原理 安全 親子 Arduino robot IoT sensors</x:v>
      </x:c>
      <x:c r="I472" s="38" t="str">
        <x:v>https://www.youtube.com/results?search_query=Robot+Mission+%E4%BC%81%E5%8A%83+%E4%B8%AD%E6%96%87+%E6%95%99%E5%AD%B8+%E5%8E%9F%E7%90%86+%E5%AE%89%E5%85%A8+%E8%A6%AA%E5%AD%90+Arduino+robot+IoT+sensors</x:v>
      </x:c>
      <x:c r="J472" s="38" t="str">
        <x:v>課後延伸／親子討論</x:v>
      </x:c>
      <x:c r="K472" s="38" t="str">
        <x:v>6–15 分鐘</x:v>
      </x:c>
      <x:c r="L472" s="38" t="str">
        <x:v>補充應用、倫理、安全或真實案例；父子各說一個觀點</x:v>
      </x:c>
      <x:c r="M472" s="38" t="str">
        <x:v>□ 未挑選</x:v>
      </x:c>
      <x:c r="N472" s="38" t="str"/>
      <x:c r="O472" s="38" t="str"/>
    </x:row>
    <x:row r="473">
      <x:c r="A473" s="38" t="n">
        <x:v>158</x:v>
      </x:c>
      <x:c r="B473" s="38" t="str">
        <x:v>第 4 年</x:v>
      </x:c>
      <x:c r="C473" s="38" t="str">
        <x:v>M10 Robot 與 IoT：感知、決策、行動</x:v>
      </x:c>
      <x:c r="D473" s="38" t="n">
        <x:v>14</x:v>
      </x:c>
      <x:c r="E473" s="38" t="str">
        <x:v>原型整合 Sprint</x:v>
      </x:c>
      <x:c r="F473" s="38" t="n">
        <x:v>1</x:v>
      </x:c>
      <x:c r="G473" s="38" t="str">
        <x:v>概念入門／官方優先</x:v>
      </x:c>
      <x:c r="H473" s="38" t="str">
        <x:v>原型整合 Sprint Arduino robot IoT sensors beginner tutorial Arduino</x:v>
      </x:c>
      <x:c r="I473" s="38" t="str">
        <x:v>https://www.youtube.com/results?search_query=%E5%8E%9F%E5%9E%8B%E6%95%B4%E5%90%88+Sprint+Arduino+robot+IoT+sensors+beginner+tutorial+Arduino</x:v>
      </x:c>
      <x:c r="J473" s="38" t="str">
        <x:v>課前暖身</x:v>
      </x:c>
      <x:c r="K473" s="38" t="str">
        <x:v>5–12 分鐘</x:v>
      </x:c>
      <x:c r="L473" s="38" t="str">
        <x:v>先建立直覺；看完能說出 3 個關鍵詞</x:v>
      </x:c>
      <x:c r="M473" s="38" t="str">
        <x:v>□ 未挑選</x:v>
      </x:c>
      <x:c r="N473" s="38" t="str"/>
      <x:c r="O473" s="38" t="str"/>
    </x:row>
    <x:row r="474">
      <x:c r="A474" s="38" t="n">
        <x:v>158</x:v>
      </x:c>
      <x:c r="B474" s="38" t="str">
        <x:v>第 4 年</x:v>
      </x:c>
      <x:c r="C474" s="38" t="str">
        <x:v>M10 Robot 與 IoT：感知、決策、行動</x:v>
      </x:c>
      <x:c r="D474" s="38" t="n">
        <x:v>14</x:v>
      </x:c>
      <x:c r="E474" s="38" t="str">
        <x:v>原型整合 Sprint</x:v>
      </x:c>
      <x:c r="F474" s="38" t="n">
        <x:v>2</x:v>
      </x:c>
      <x:c r="G474" s="38" t="str">
        <x:v>跟做實作／專案導向</x:v>
      </x:c>
      <x:c r="H474" s="38" t="str">
        <x:v>原型整合 Sprint 整合感測、控制、通訊與機構，建立可運作路徑 hands on project for kids Arduino robot IoT sensors</x:v>
      </x:c>
      <x:c r="I474" s="38" t="str">
        <x:v>https://www.youtube.com/results?search_query=%E5%8E%9F%E5%9E%8B%E6%95%B4%E5%90%88+Sprint+%E6%95%B4%E5%90%88%E6%84%9F%E6%B8%AC%E3%80%81%E6%8E%A7%E5%88%B6%E3%80%81%E9%80%9A%E8%A8%8A%E8%88%87%E6%A9%9F%E6%A7%8B%EF%BC%8C%E5%BB%BA%E7%AB%8B%E5%8F%AF%E9%81%8B%E4%BD%9C%E8%B7%AF%E5%BE%91+hands+on+project+for+kids+Arduino+robot+IoT+sensors</x:v>
      </x:c>
      <x:c r="J474" s="38" t="str">
        <x:v>課中實作參考</x:v>
      </x:c>
      <x:c r="K474" s="38" t="str">
        <x:v>8–20 分鐘</x:v>
      </x:c>
      <x:c r="L474" s="38" t="str">
        <x:v>優先找有畫面操作、步驟清楚、可暫停跟做的版本</x:v>
      </x:c>
      <x:c r="M474" s="38" t="str">
        <x:v>□ 未挑選</x:v>
      </x:c>
      <x:c r="N474" s="38" t="str"/>
      <x:c r="O474" s="38" t="str"/>
    </x:row>
    <x:row r="475">
      <x:c r="A475" s="38" t="n">
        <x:v>158</x:v>
      </x:c>
      <x:c r="B475" s="38" t="str">
        <x:v>第 4 年</x:v>
      </x:c>
      <x:c r="C475" s="38" t="str">
        <x:v>M10 Robot 與 IoT：感知、決策、行動</x:v>
      </x:c>
      <x:c r="D475" s="38" t="n">
        <x:v>14</x:v>
      </x:c>
      <x:c r="E475" s="38" t="str">
        <x:v>原型整合 Sprint</x:v>
      </x:c>
      <x:c r="F475" s="38" t="n">
        <x:v>3</x:v>
      </x:c>
      <x:c r="G475" s="38" t="str">
        <x:v>中文延伸／倫理安全</x:v>
      </x:c>
      <x:c r="H475" s="38" t="str">
        <x:v>原型整合 Sprint 中文 教學 原理 安全 親子 Arduino robot IoT sensors</x:v>
      </x:c>
      <x:c r="I475" s="38" t="str">
        <x:v>https://www.youtube.com/results?search_query=%E5%8E%9F%E5%9E%8B%E6%95%B4%E5%90%88+Sprint+%E4%B8%AD%E6%96%87+%E6%95%99%E5%AD%B8+%E5%8E%9F%E7%90%86+%E5%AE%89%E5%85%A8+%E8%A6%AA%E5%AD%90+Arduino+robot+IoT+sensors</x:v>
      </x:c>
      <x:c r="J475" s="38" t="str">
        <x:v>課後延伸／親子討論</x:v>
      </x:c>
      <x:c r="K475" s="38" t="str">
        <x:v>6–15 分鐘</x:v>
      </x:c>
      <x:c r="L475" s="38" t="str">
        <x:v>補充應用、倫理、安全或真實案例；父子各說一個觀點</x:v>
      </x:c>
      <x:c r="M475" s="38" t="str">
        <x:v>□ 未挑選</x:v>
      </x:c>
      <x:c r="N475" s="38" t="str"/>
      <x:c r="O475" s="38" t="str"/>
    </x:row>
    <x:row r="476">
      <x:c r="A476" s="38" t="n">
        <x:v>159</x:v>
      </x:c>
      <x:c r="B476" s="38" t="str">
        <x:v>第 4 年</x:v>
      </x:c>
      <x:c r="C476" s="38" t="str">
        <x:v>M10 Robot 與 IoT：感知、決策、行動</x:v>
      </x:c>
      <x:c r="D476" s="38" t="n">
        <x:v>15</x:v>
      </x:c>
      <x:c r="E476" s="38" t="str">
        <x:v>整合測試與故障注入</x:v>
      </x:c>
      <x:c r="F476" s="38" t="n">
        <x:v>1</x:v>
      </x:c>
      <x:c r="G476" s="38" t="str">
        <x:v>概念入門／官方優先</x:v>
      </x:c>
      <x:c r="H476" s="38" t="str">
        <x:v>整合測試與故障注入 Arduino robot IoT sensors beginner tutorial Arduino</x:v>
      </x:c>
      <x:c r="I476" s="38" t="str">
        <x:v>https://www.youtube.com/results?search_query=%E6%95%B4%E5%90%88%E6%B8%AC%E8%A9%A6%E8%88%87%E6%95%85%E9%9A%9C%E6%B3%A8%E5%85%A5+Arduino+robot+IoT+sensors+beginner+tutorial+Arduino</x:v>
      </x:c>
      <x:c r="J476" s="38" t="str">
        <x:v>課前暖身</x:v>
      </x:c>
      <x:c r="K476" s="38" t="str">
        <x:v>5–12 分鐘</x:v>
      </x:c>
      <x:c r="L476" s="38" t="str">
        <x:v>先建立直覺；看完能說出 3 個關鍵詞</x:v>
      </x:c>
      <x:c r="M476" s="38" t="str">
        <x:v>□ 未挑選</x:v>
      </x:c>
      <x:c r="N476" s="38" t="str"/>
      <x:c r="O476" s="38" t="str"/>
    </x:row>
    <x:row r="477">
      <x:c r="A477" s="38" t="n">
        <x:v>159</x:v>
      </x:c>
      <x:c r="B477" s="38" t="str">
        <x:v>第 4 年</x:v>
      </x:c>
      <x:c r="C477" s="38" t="str">
        <x:v>M10 Robot 與 IoT：感知、決策、行動</x:v>
      </x:c>
      <x:c r="D477" s="38" t="n">
        <x:v>15</x:v>
      </x:c>
      <x:c r="E477" s="38" t="str">
        <x:v>整合測試與故障注入</x:v>
      </x:c>
      <x:c r="F477" s="38" t="n">
        <x:v>2</x:v>
      </x:c>
      <x:c r="G477" s="38" t="str">
        <x:v>跟做實作／專案導向</x:v>
      </x:c>
      <x:c r="H477" s="38" t="str">
        <x:v>整合測試與故障注入 驗證電量低、感測失效、斷線、卡住與誤判 hands on project for kids Arduino robot IoT sensors</x:v>
      </x:c>
      <x:c r="I477" s="38" t="str">
        <x:v>https://www.youtube.com/results?search_query=%E6%95%B4%E5%90%88%E6%B8%AC%E8%A9%A6%E8%88%87%E6%95%85%E9%9A%9C%E6%B3%A8%E5%85%A5+%E9%A9%97%E8%AD%89%E9%9B%BB%E9%87%8F%E4%BD%8E%E3%80%81%E6%84%9F%E6%B8%AC%E5%A4%B1%E6%95%88%E3%80%81%E6%96%B7%E7%B7%9A%E3%80%81%E5%8D%A1%E4%BD%8F%E8%88%87%E8%AA%A4%E5%88%A4+hands+on+project+for+kids+Arduino+robot+IoT+sensors</x:v>
      </x:c>
      <x:c r="J477" s="38" t="str">
        <x:v>課中實作參考</x:v>
      </x:c>
      <x:c r="K477" s="38" t="str">
        <x:v>8–20 分鐘</x:v>
      </x:c>
      <x:c r="L477" s="38" t="str">
        <x:v>優先找有畫面操作、步驟清楚、可暫停跟做的版本</x:v>
      </x:c>
      <x:c r="M477" s="38" t="str">
        <x:v>□ 未挑選</x:v>
      </x:c>
      <x:c r="N477" s="38" t="str"/>
      <x:c r="O477" s="38" t="str"/>
    </x:row>
    <x:row r="478">
      <x:c r="A478" s="38" t="n">
        <x:v>159</x:v>
      </x:c>
      <x:c r="B478" s="38" t="str">
        <x:v>第 4 年</x:v>
      </x:c>
      <x:c r="C478" s="38" t="str">
        <x:v>M10 Robot 與 IoT：感知、決策、行動</x:v>
      </x:c>
      <x:c r="D478" s="38" t="n">
        <x:v>15</x:v>
      </x:c>
      <x:c r="E478" s="38" t="str">
        <x:v>整合測試與故障注入</x:v>
      </x:c>
      <x:c r="F478" s="38" t="n">
        <x:v>3</x:v>
      </x:c>
      <x:c r="G478" s="38" t="str">
        <x:v>中文延伸／倫理安全</x:v>
      </x:c>
      <x:c r="H478" s="38" t="str">
        <x:v>整合測試與故障注入 中文 教學 原理 安全 親子 Arduino robot IoT sensors</x:v>
      </x:c>
      <x:c r="I478" s="38" t="str">
        <x:v>https://www.youtube.com/results?search_query=%E6%95%B4%E5%90%88%E6%B8%AC%E8%A9%A6%E8%88%87%E6%95%85%E9%9A%9C%E6%B3%A8%E5%85%A5+%E4%B8%AD%E6%96%87+%E6%95%99%E5%AD%B8+%E5%8E%9F%E7%90%86+%E5%AE%89%E5%85%A8+%E8%A6%AA%E5%AD%90+Arduino+robot+IoT+sensors</x:v>
      </x:c>
      <x:c r="J478" s="38" t="str">
        <x:v>課後延伸／親子討論</x:v>
      </x:c>
      <x:c r="K478" s="38" t="str">
        <x:v>6–15 分鐘</x:v>
      </x:c>
      <x:c r="L478" s="38" t="str">
        <x:v>補充應用、倫理、安全或真實案例；父子各說一個觀點</x:v>
      </x:c>
      <x:c r="M478" s="38" t="str">
        <x:v>□ 未挑選</x:v>
      </x:c>
      <x:c r="N478" s="38" t="str"/>
      <x:c r="O478" s="38" t="str"/>
    </x:row>
    <x:row r="479">
      <x:c r="A479" s="38" t="n">
        <x:v>160</x:v>
      </x:c>
      <x:c r="B479" s="38" t="str">
        <x:v>第 4 年</x:v>
      </x:c>
      <x:c r="C479" s="38" t="str">
        <x:v>M10 Robot 與 IoT：感知、決策、行動</x:v>
      </x:c>
      <x:c r="D479" s="38" t="n">
        <x:v>16</x:v>
      </x:c>
      <x:c r="E479" s="38" t="str">
        <x:v>Robot Challenge Day</x:v>
      </x:c>
      <x:c r="F479" s="38" t="n">
        <x:v>1</x:v>
      </x:c>
      <x:c r="G479" s="38" t="str">
        <x:v>概念入門／官方優先</x:v>
      </x:c>
      <x:c r="H479" s="38" t="str">
        <x:v>Robot Challenge Day Arduino robot IoT sensors beginner tutorial Arduino</x:v>
      </x:c>
      <x:c r="I479" s="38" t="str">
        <x:v>https://www.youtube.com/results?search_query=Robot+Challenge+Day+Arduino+robot+IoT+sensors+beginner+tutorial+Arduino</x:v>
      </x:c>
      <x:c r="J479" s="38" t="str">
        <x:v>課前暖身</x:v>
      </x:c>
      <x:c r="K479" s="38" t="str">
        <x:v>5–12 分鐘</x:v>
      </x:c>
      <x:c r="L479" s="38" t="str">
        <x:v>先建立直覺；看完能說出 3 個關鍵詞</x:v>
      </x:c>
      <x:c r="M479" s="38" t="str">
        <x:v>□ 未挑選</x:v>
      </x:c>
      <x:c r="N479" s="38" t="str"/>
      <x:c r="O479" s="38" t="str"/>
    </x:row>
    <x:row r="480">
      <x:c r="A480" s="38" t="n">
        <x:v>160</x:v>
      </x:c>
      <x:c r="B480" s="38" t="str">
        <x:v>第 4 年</x:v>
      </x:c>
      <x:c r="C480" s="38" t="str">
        <x:v>M10 Robot 與 IoT：感知、決策、行動</x:v>
      </x:c>
      <x:c r="D480" s="38" t="n">
        <x:v>16</x:v>
      </x:c>
      <x:c r="E480" s="38" t="str">
        <x:v>Robot Challenge Day</x:v>
      </x:c>
      <x:c r="F480" s="38" t="n">
        <x:v>2</x:v>
      </x:c>
      <x:c r="G480" s="38" t="str">
        <x:v>跟做實作／專案導向</x:v>
      </x:c>
      <x:c r="H480" s="38" t="str">
        <x:v>Robot Challenge Day 以成功率、時間、安全與可解釋性完成競賽 hands on project for kids Arduino robot IoT sensors</x:v>
      </x:c>
      <x:c r="I480" s="38" t="str">
        <x:v>https://www.youtube.com/results?search_query=Robot+Challenge+Day+%E4%BB%A5%E6%88%90%E5%8A%9F%E7%8E%87%E3%80%81%E6%99%82%E9%96%93%E3%80%81%E5%AE%89%E5%85%A8%E8%88%87%E5%8F%AF%E8%A7%A3%E9%87%8B%E6%80%A7%E5%AE%8C%E6%88%90%E7%AB%B6%E8%B3%BD+hands+on+project+for+kids+Arduino+robot+IoT+sensors</x:v>
      </x:c>
      <x:c r="J480" s="38" t="str">
        <x:v>課中實作參考</x:v>
      </x:c>
      <x:c r="K480" s="38" t="str">
        <x:v>8–20 分鐘</x:v>
      </x:c>
      <x:c r="L480" s="38" t="str">
        <x:v>優先找有畫面操作、步驟清楚、可暫停跟做的版本</x:v>
      </x:c>
      <x:c r="M480" s="38" t="str">
        <x:v>□ 未挑選</x:v>
      </x:c>
      <x:c r="N480" s="38" t="str"/>
      <x:c r="O480" s="38" t="str"/>
    </x:row>
    <x:row r="481">
      <x:c r="A481" s="38" t="n">
        <x:v>160</x:v>
      </x:c>
      <x:c r="B481" s="38" t="str">
        <x:v>第 4 年</x:v>
      </x:c>
      <x:c r="C481" s="38" t="str">
        <x:v>M10 Robot 與 IoT：感知、決策、行動</x:v>
      </x:c>
      <x:c r="D481" s="38" t="n">
        <x:v>16</x:v>
      </x:c>
      <x:c r="E481" s="38" t="str">
        <x:v>Robot Challenge Day</x:v>
      </x:c>
      <x:c r="F481" s="38" t="n">
        <x:v>3</x:v>
      </x:c>
      <x:c r="G481" s="38" t="str">
        <x:v>中文延伸／倫理安全</x:v>
      </x:c>
      <x:c r="H481" s="38" t="str">
        <x:v>Robot Challenge Day 中文 教學 原理 安全 親子 Arduino robot IoT sensors</x:v>
      </x:c>
      <x:c r="I481" s="38" t="str">
        <x:v>https://www.youtube.com/results?search_query=Robot+Challenge+Day+%E4%B8%AD%E6%96%87+%E6%95%99%E5%AD%B8+%E5%8E%9F%E7%90%86+%E5%AE%89%E5%85%A8+%E8%A6%AA%E5%AD%90+Arduino+robot+IoT+sensors</x:v>
      </x:c>
      <x:c r="J481" s="38" t="str">
        <x:v>課後延伸／親子討論</x:v>
      </x:c>
      <x:c r="K481" s="38" t="str">
        <x:v>6–15 分鐘</x:v>
      </x:c>
      <x:c r="L481" s="38" t="str">
        <x:v>補充應用、倫理、安全或真實案例；父子各說一個觀點</x:v>
      </x:c>
      <x:c r="M481" s="38" t="str">
        <x:v>□ 未挑選</x:v>
      </x:c>
      <x:c r="N481" s="38" t="str"/>
      <x:c r="O481" s="38" t="str"/>
    </x:row>
    <x:row r="482">
      <x:c r="A482" s="38" t="n">
        <x:v>161</x:v>
      </x:c>
      <x:c r="B482" s="38" t="str">
        <x:v>第 4 年</x:v>
      </x:c>
      <x:c r="C482" s="38" t="str">
        <x:v>M11 AI Agent 與自動化工程</x:v>
      </x:c>
      <x:c r="D482" s="38" t="n">
        <x:v>1</x:v>
      </x:c>
      <x:c r="E482" s="38" t="str">
        <x:v>自動化、工作流與 Agent 差在哪</x:v>
      </x:c>
      <x:c r="F482" s="38" t="n">
        <x:v>1</x:v>
      </x:c>
      <x:c r="G482" s="38" t="str">
        <x:v>概念入門／官方優先</x:v>
      </x:c>
      <x:c r="H482" s="38" t="str">
        <x:v>自動化、工作流與 Agent 差在哪 AI agents automation prompt engineering beginner tutorial OpenAI</x:v>
      </x:c>
      <x:c r="I482" s="38" t="str">
        <x:v>https://www.youtube.com/results?search_query=%E8%87%AA%E5%8B%95%E5%8C%96%E3%80%81%E5%B7%A5%E4%BD%9C%E6%B5%81%E8%88%87+Agent+%E5%B7%AE%E5%9C%A8%E5%93%AA+AI+agents+automation+prompt+engineering+beginner+tutorial+OpenAI</x:v>
      </x:c>
      <x:c r="J482" s="38" t="str">
        <x:v>課前暖身</x:v>
      </x:c>
      <x:c r="K482" s="38" t="str">
        <x:v>5–12 分鐘</x:v>
      </x:c>
      <x:c r="L482" s="38" t="str">
        <x:v>先建立直覺；看完能說出 3 個關鍵詞</x:v>
      </x:c>
      <x:c r="M482" s="38" t="str">
        <x:v>□ 未挑選</x:v>
      </x:c>
      <x:c r="N482" s="38" t="str"/>
      <x:c r="O482" s="38" t="str"/>
    </x:row>
    <x:row r="483">
      <x:c r="A483" s="38" t="n">
        <x:v>161</x:v>
      </x:c>
      <x:c r="B483" s="38" t="str">
        <x:v>第 4 年</x:v>
      </x:c>
      <x:c r="C483" s="38" t="str">
        <x:v>M11 AI Agent 與自動化工程</x:v>
      </x:c>
      <x:c r="D483" s="38" t="n">
        <x:v>1</x:v>
      </x:c>
      <x:c r="E483" s="38" t="str">
        <x:v>自動化、工作流與 Agent 差在哪</x:v>
      </x:c>
      <x:c r="F483" s="38" t="n">
        <x:v>2</x:v>
      </x:c>
      <x:c r="G483" s="38" t="str">
        <x:v>跟做實作／專案導向</x:v>
      </x:c>
      <x:c r="H483" s="38" t="str">
        <x:v>自動化、工作流與 Agent 差在哪 依任務不確定性與決策需求選擇正確架構 hands on project for kids AI agents automation prompt engineering</x:v>
      </x:c>
      <x:c r="I483" s="38" t="str">
        <x:v>https://www.youtube.com/results?search_query=%E8%87%AA%E5%8B%95%E5%8C%96%E3%80%81%E5%B7%A5%E4%BD%9C%E6%B5%81%E8%88%87+Agent+%E5%B7%AE%E5%9C%A8%E5%93%AA+%E4%BE%9D%E4%BB%BB%E5%8B%99%E4%B8%8D%E7%A2%BA%E5%AE%9A%E6%80%A7%E8%88%87%E6%B1%BA%E7%AD%96%E9%9C%80%E6%B1%82%E9%81%B8%E6%93%87%E6%AD%A3%E7%A2%BA%E6%9E%B6%E6%A7%8B+hands+on+project+for+kids+AI+agents+automation+prompt+engineering</x:v>
      </x:c>
      <x:c r="J483" s="38" t="str">
        <x:v>課中實作參考</x:v>
      </x:c>
      <x:c r="K483" s="38" t="str">
        <x:v>8–20 分鐘</x:v>
      </x:c>
      <x:c r="L483" s="38" t="str">
        <x:v>優先找有畫面操作、步驟清楚、可暫停跟做的版本</x:v>
      </x:c>
      <x:c r="M483" s="38" t="str">
        <x:v>□ 未挑選</x:v>
      </x:c>
      <x:c r="N483" s="38" t="str"/>
      <x:c r="O483" s="38" t="str"/>
    </x:row>
    <x:row r="484">
      <x:c r="A484" s="38" t="n">
        <x:v>161</x:v>
      </x:c>
      <x:c r="B484" s="38" t="str">
        <x:v>第 4 年</x:v>
      </x:c>
      <x:c r="C484" s="38" t="str">
        <x:v>M11 AI Agent 與自動化工程</x:v>
      </x:c>
      <x:c r="D484" s="38" t="n">
        <x:v>1</x:v>
      </x:c>
      <x:c r="E484" s="38" t="str">
        <x:v>自動化、工作流與 Agent 差在哪</x:v>
      </x:c>
      <x:c r="F484" s="38" t="n">
        <x:v>3</x:v>
      </x:c>
      <x:c r="G484" s="38" t="str">
        <x:v>中文延伸／倫理安全</x:v>
      </x:c>
      <x:c r="H484" s="38" t="str">
        <x:v>自動化、工作流與 Agent 差在哪 中文 教學 原理 安全 親子 AI agents automation prompt engineering</x:v>
      </x:c>
      <x:c r="I484" s="38" t="str">
        <x:v>https://www.youtube.com/results?search_query=%E8%87%AA%E5%8B%95%E5%8C%96%E3%80%81%E5%B7%A5%E4%BD%9C%E6%B5%81%E8%88%87+Agent+%E5%B7%AE%E5%9C%A8%E5%93%AA+%E4%B8%AD%E6%96%87+%E6%95%99%E5%AD%B8+%E5%8E%9F%E7%90%86+%E5%AE%89%E5%85%A8+%E8%A6%AA%E5%AD%90+AI+agents+automation+prompt+engineering</x:v>
      </x:c>
      <x:c r="J484" s="38" t="str">
        <x:v>課後延伸／親子討論</x:v>
      </x:c>
      <x:c r="K484" s="38" t="str">
        <x:v>6–15 分鐘</x:v>
      </x:c>
      <x:c r="L484" s="38" t="str">
        <x:v>補充應用、倫理、安全或真實案例；父子各說一個觀點</x:v>
      </x:c>
      <x:c r="M484" s="38" t="str">
        <x:v>□ 未挑選</x:v>
      </x:c>
      <x:c r="N484" s="38" t="str"/>
      <x:c r="O484" s="38" t="str"/>
    </x:row>
    <x:row r="485">
      <x:c r="A485" s="38" t="n">
        <x:v>162</x:v>
      </x:c>
      <x:c r="B485" s="38" t="str">
        <x:v>第 4 年</x:v>
      </x:c>
      <x:c r="C485" s="38" t="str">
        <x:v>M11 AI Agent 與自動化工程</x:v>
      </x:c>
      <x:c r="D485" s="38" t="n">
        <x:v>2</x:v>
      </x:c>
      <x:c r="E485" s="38" t="str">
        <x:v>先畫流程再寫程式</x:v>
      </x:c>
      <x:c r="F485" s="38" t="n">
        <x:v>1</x:v>
      </x:c>
      <x:c r="G485" s="38" t="str">
        <x:v>概念入門／官方優先</x:v>
      </x:c>
      <x:c r="H485" s="38" t="str">
        <x:v>先畫流程再寫程式 AI agents automation prompt engineering beginner tutorial OpenAI</x:v>
      </x:c>
      <x:c r="I485" s="38" t="str">
        <x:v>https://www.youtube.com/results?search_query=%E5%85%88%E7%95%AB%E6%B5%81%E7%A8%8B%E5%86%8D%E5%AF%AB%E7%A8%8B%E5%BC%8F+AI+agents+automation+prompt+engineering+beginner+tutorial+OpenAI</x:v>
      </x:c>
      <x:c r="J485" s="38" t="str">
        <x:v>課前暖身</x:v>
      </x:c>
      <x:c r="K485" s="38" t="str">
        <x:v>5–12 分鐘</x:v>
      </x:c>
      <x:c r="L485" s="38" t="str">
        <x:v>先建立直覺；看完能說出 3 個關鍵詞</x:v>
      </x:c>
      <x:c r="M485" s="38" t="str">
        <x:v>□ 未挑選</x:v>
      </x:c>
      <x:c r="N485" s="38" t="str"/>
      <x:c r="O485" s="38" t="str"/>
    </x:row>
    <x:row r="486">
      <x:c r="A486" s="38" t="n">
        <x:v>162</x:v>
      </x:c>
      <x:c r="B486" s="38" t="str">
        <x:v>第 4 年</x:v>
      </x:c>
      <x:c r="C486" s="38" t="str">
        <x:v>M11 AI Agent 與自動化工程</x:v>
      </x:c>
      <x:c r="D486" s="38" t="n">
        <x:v>2</x:v>
      </x:c>
      <x:c r="E486" s="38" t="str">
        <x:v>先畫流程再寫程式</x:v>
      </x:c>
      <x:c r="F486" s="38" t="n">
        <x:v>2</x:v>
      </x:c>
      <x:c r="G486" s="38" t="str">
        <x:v>跟做實作／專案導向</x:v>
      </x:c>
      <x:c r="H486" s="38" t="str">
        <x:v>先畫流程再寫程式 用輸入、步驟、分支、錯誤、輸出描述工作流 hands on project for kids AI agents automation prompt engineering</x:v>
      </x:c>
      <x:c r="I486" s="38" t="str">
        <x:v>https://www.youtube.com/results?search_query=%E5%85%88%E7%95%AB%E6%B5%81%E7%A8%8B%E5%86%8D%E5%AF%AB%E7%A8%8B%E5%BC%8F+%E7%94%A8%E8%BC%B8%E5%85%A5%E3%80%81%E6%AD%A5%E9%A9%9F%E3%80%81%E5%88%86%E6%94%AF%E3%80%81%E9%8C%AF%E8%AA%A4%E3%80%81%E8%BC%B8%E5%87%BA%E6%8F%8F%E8%BF%B0%E5%B7%A5%E4%BD%9C%E6%B5%81+hands+on+project+for+kids+AI+agents+automation+prompt+engineering</x:v>
      </x:c>
      <x:c r="J486" s="38" t="str">
        <x:v>課中實作參考</x:v>
      </x:c>
      <x:c r="K486" s="38" t="str">
        <x:v>8–20 分鐘</x:v>
      </x:c>
      <x:c r="L486" s="38" t="str">
        <x:v>優先找有畫面操作、步驟清楚、可暫停跟做的版本</x:v>
      </x:c>
      <x:c r="M486" s="38" t="str">
        <x:v>□ 未挑選</x:v>
      </x:c>
      <x:c r="N486" s="38" t="str"/>
      <x:c r="O486" s="38" t="str"/>
    </x:row>
    <x:row r="487">
      <x:c r="A487" s="38" t="n">
        <x:v>162</x:v>
      </x:c>
      <x:c r="B487" s="38" t="str">
        <x:v>第 4 年</x:v>
      </x:c>
      <x:c r="C487" s="38" t="str">
        <x:v>M11 AI Agent 與自動化工程</x:v>
      </x:c>
      <x:c r="D487" s="38" t="n">
        <x:v>2</x:v>
      </x:c>
      <x:c r="E487" s="38" t="str">
        <x:v>先畫流程再寫程式</x:v>
      </x:c>
      <x:c r="F487" s="38" t="n">
        <x:v>3</x:v>
      </x:c>
      <x:c r="G487" s="38" t="str">
        <x:v>中文延伸／倫理安全</x:v>
      </x:c>
      <x:c r="H487" s="38" t="str">
        <x:v>先畫流程再寫程式 中文 教學 原理 安全 親子 AI agents automation prompt engineering</x:v>
      </x:c>
      <x:c r="I487" s="38" t="str">
        <x:v>https://www.youtube.com/results?search_query=%E5%85%88%E7%95%AB%E6%B5%81%E7%A8%8B%E5%86%8D%E5%AF%AB%E7%A8%8B%E5%BC%8F+%E4%B8%AD%E6%96%87+%E6%95%99%E5%AD%B8+%E5%8E%9F%E7%90%86+%E5%AE%89%E5%85%A8+%E8%A6%AA%E5%AD%90+AI+agents+automation+prompt+engineering</x:v>
      </x:c>
      <x:c r="J487" s="38" t="str">
        <x:v>課後延伸／親子討論</x:v>
      </x:c>
      <x:c r="K487" s="38" t="str">
        <x:v>6–15 分鐘</x:v>
      </x:c>
      <x:c r="L487" s="38" t="str">
        <x:v>補充應用、倫理、安全或真實案例；父子各說一個觀點</x:v>
      </x:c>
      <x:c r="M487" s="38" t="str">
        <x:v>□ 未挑選</x:v>
      </x:c>
      <x:c r="N487" s="38" t="str"/>
      <x:c r="O487" s="38" t="str"/>
    </x:row>
    <x:row r="488">
      <x:c r="A488" s="38" t="n">
        <x:v>163</x:v>
      </x:c>
      <x:c r="B488" s="38" t="str">
        <x:v>第 4 年</x:v>
      </x:c>
      <x:c r="C488" s="38" t="str">
        <x:v>M11 AI Agent 與自動化工程</x:v>
      </x:c>
      <x:c r="D488" s="38" t="n">
        <x:v>3</x:v>
      </x:c>
      <x:c r="E488" s="38" t="str">
        <x:v>工具就是 Agent 的手腳</x:v>
      </x:c>
      <x:c r="F488" s="38" t="n">
        <x:v>1</x:v>
      </x:c>
      <x:c r="G488" s="38" t="str">
        <x:v>概念入門／官方優先</x:v>
      </x:c>
      <x:c r="H488" s="38" t="str">
        <x:v>工具就是 Agent 的手腳 AI agents automation prompt engineering beginner tutorial OpenAI</x:v>
      </x:c>
      <x:c r="I488" s="38" t="str">
        <x:v>https://www.youtube.com/results?search_query=%E5%B7%A5%E5%85%B7%E5%B0%B1%E6%98%AF+Agent+%E7%9A%84%E6%89%8B%E8%85%B3+AI+agents+automation+prompt+engineering+beginner+tutorial+OpenAI</x:v>
      </x:c>
      <x:c r="J488" s="38" t="str">
        <x:v>課前暖身</x:v>
      </x:c>
      <x:c r="K488" s="38" t="str">
        <x:v>5–12 分鐘</x:v>
      </x:c>
      <x:c r="L488" s="38" t="str">
        <x:v>先建立直覺；看完能說出 3 個關鍵詞</x:v>
      </x:c>
      <x:c r="M488" s="38" t="str">
        <x:v>□ 未挑選</x:v>
      </x:c>
      <x:c r="N488" s="38" t="str"/>
      <x:c r="O488" s="38" t="str"/>
    </x:row>
    <x:row r="489">
      <x:c r="A489" s="38" t="n">
        <x:v>163</x:v>
      </x:c>
      <x:c r="B489" s="38" t="str">
        <x:v>第 4 年</x:v>
      </x:c>
      <x:c r="C489" s="38" t="str">
        <x:v>M11 AI Agent 與自動化工程</x:v>
      </x:c>
      <x:c r="D489" s="38" t="n">
        <x:v>3</x:v>
      </x:c>
      <x:c r="E489" s="38" t="str">
        <x:v>工具就是 Agent 的手腳</x:v>
      </x:c>
      <x:c r="F489" s="38" t="n">
        <x:v>2</x:v>
      </x:c>
      <x:c r="G489" s="38" t="str">
        <x:v>跟做實作／專案導向</x:v>
      </x:c>
      <x:c r="H489" s="38" t="str">
        <x:v>工具就是 Agent 的手腳 理解工具名稱、輸入 schema、輸出與失敗情境 hands on project for kids AI agents automation prompt</x:v>
      </x:c>
      <x:c r="I489" s="38" t="str">
        <x:v>https://www.youtube.com/results?search_query=%E5%B7%A5%E5%85%B7%E5%B0%B1%E6%98%AF+Agent+%E7%9A%84%E6%89%8B%E8%85%B3+%E7%90%86%E8%A7%A3%E5%B7%A5%E5%85%B7%E5%90%8D%E7%A8%B1%E3%80%81%E8%BC%B8%E5%85%A5+schema%E3%80%81%E8%BC%B8%E5%87%BA%E8%88%87%E5%A4%B1%E6%95%97%E6%83%85%E5%A2%83+hands+on+project+for+kids+AI+agents+automation+prompt+engineering</x:v>
      </x:c>
      <x:c r="J489" s="38" t="str">
        <x:v>課中實作參考</x:v>
      </x:c>
      <x:c r="K489" s="38" t="str">
        <x:v>8–20 分鐘</x:v>
      </x:c>
      <x:c r="L489" s="38" t="str">
        <x:v>優先找有畫面操作、步驟清楚、可暫停跟做的版本</x:v>
      </x:c>
      <x:c r="M489" s="38" t="str">
        <x:v>□ 未挑選</x:v>
      </x:c>
      <x:c r="N489" s="38" t="str"/>
      <x:c r="O489" s="38" t="str"/>
    </x:row>
    <x:row r="490">
      <x:c r="A490" s="38" t="n">
        <x:v>163</x:v>
      </x:c>
      <x:c r="B490" s="38" t="str">
        <x:v>第 4 年</x:v>
      </x:c>
      <x:c r="C490" s="38" t="str">
        <x:v>M11 AI Agent 與自動化工程</x:v>
      </x:c>
      <x:c r="D490" s="38" t="n">
        <x:v>3</x:v>
      </x:c>
      <x:c r="E490" s="38" t="str">
        <x:v>工具就是 Agent 的手腳</x:v>
      </x:c>
      <x:c r="F490" s="38" t="n">
        <x:v>3</x:v>
      </x:c>
      <x:c r="G490" s="38" t="str">
        <x:v>中文延伸／倫理安全</x:v>
      </x:c>
      <x:c r="H490" s="38" t="str">
        <x:v>工具就是 Agent 的手腳 中文 教學 原理 安全 親子 AI agents automation prompt engineering</x:v>
      </x:c>
      <x:c r="I490" s="38" t="str">
        <x:v>https://www.youtube.com/results?search_query=%E5%B7%A5%E5%85%B7%E5%B0%B1%E6%98%AF+Agent+%E7%9A%84%E6%89%8B%E8%85%B3+%E4%B8%AD%E6%96%87+%E6%95%99%E5%AD%B8+%E5%8E%9F%E7%90%86+%E5%AE%89%E5%85%A8+%E8%A6%AA%E5%AD%90+AI+agents+automation+prompt+engineering</x:v>
      </x:c>
      <x:c r="J490" s="38" t="str">
        <x:v>課後延伸／親子討論</x:v>
      </x:c>
      <x:c r="K490" s="38" t="str">
        <x:v>6–15 分鐘</x:v>
      </x:c>
      <x:c r="L490" s="38" t="str">
        <x:v>補充應用、倫理、安全或真實案例；父子各說一個觀點</x:v>
      </x:c>
      <x:c r="M490" s="38" t="str">
        <x:v>□ 未挑選</x:v>
      </x:c>
      <x:c r="N490" s="38" t="str"/>
      <x:c r="O490" s="38" t="str"/>
    </x:row>
    <x:row r="491">
      <x:c r="A491" s="38" t="n">
        <x:v>164</x:v>
      </x:c>
      <x:c r="B491" s="38" t="str">
        <x:v>第 4 年</x:v>
      </x:c>
      <x:c r="C491" s="38" t="str">
        <x:v>M11 AI Agent 與自動化工程</x:v>
      </x:c>
      <x:c r="D491" s="38" t="n">
        <x:v>4</x:v>
      </x:c>
      <x:c r="E491" s="38" t="str">
        <x:v>JSON：系統之間的共同語言</x:v>
      </x:c>
      <x:c r="F491" s="38" t="n">
        <x:v>1</x:v>
      </x:c>
      <x:c r="G491" s="38" t="str">
        <x:v>概念入門／官方優先</x:v>
      </x:c>
      <x:c r="H491" s="38" t="str">
        <x:v>JSON 系統之間的共同語言 AI agents automation prompt engineering beginner tutorial OpenAI</x:v>
      </x:c>
      <x:c r="I491" s="38" t="str">
        <x:v>https://www.youtube.com/results?search_query=JSON+%E7%B3%BB%E7%B5%B1%E4%B9%8B%E9%96%93%E7%9A%84%E5%85%B1%E5%90%8C%E8%AA%9E%E8%A8%80+AI+agents+automation+prompt+engineering+beginner+tutorial+OpenAI</x:v>
      </x:c>
      <x:c r="J491" s="38" t="str">
        <x:v>課前暖身</x:v>
      </x:c>
      <x:c r="K491" s="38" t="str">
        <x:v>5–12 分鐘</x:v>
      </x:c>
      <x:c r="L491" s="38" t="str">
        <x:v>先建立直覺；看完能說出 3 個關鍵詞</x:v>
      </x:c>
      <x:c r="M491" s="38" t="str">
        <x:v>□ 未挑選</x:v>
      </x:c>
      <x:c r="N491" s="38" t="str"/>
      <x:c r="O491" s="38" t="str"/>
    </x:row>
    <x:row r="492">
      <x:c r="A492" s="38" t="n">
        <x:v>164</x:v>
      </x:c>
      <x:c r="B492" s="38" t="str">
        <x:v>第 4 年</x:v>
      </x:c>
      <x:c r="C492" s="38" t="str">
        <x:v>M11 AI Agent 與自動化工程</x:v>
      </x:c>
      <x:c r="D492" s="38" t="n">
        <x:v>4</x:v>
      </x:c>
      <x:c r="E492" s="38" t="str">
        <x:v>JSON：系統之間的共同語言</x:v>
      </x:c>
      <x:c r="F492" s="38" t="n">
        <x:v>2</x:v>
      </x:c>
      <x:c r="G492" s="38" t="str">
        <x:v>跟做實作／專案導向</x:v>
      </x:c>
      <x:c r="H492" s="38" t="str">
        <x:v>JSON 系統之間的共同語言 理解 object、array、key/value、型別與驗證 hands on project for kids AI agents automation prompt engineering</x:v>
      </x:c>
      <x:c r="I492" s="38" t="str">
        <x:v>https://www.youtube.com/results?search_query=JSON+%E7%B3%BB%E7%B5%B1%E4%B9%8B%E9%96%93%E7%9A%84%E5%85%B1%E5%90%8C%E8%AA%9E%E8%A8%80+%E7%90%86%E8%A7%A3+object%E3%80%81array%E3%80%81key%2Fvalue%E3%80%81%E5%9E%8B%E5%88%A5%E8%88%87%E9%A9%97%E8%AD%89+hands+on+project+for+kids+AI+agents+automation+prompt+engineering</x:v>
      </x:c>
      <x:c r="J492" s="38" t="str">
        <x:v>課中實作參考</x:v>
      </x:c>
      <x:c r="K492" s="38" t="str">
        <x:v>8–20 分鐘</x:v>
      </x:c>
      <x:c r="L492" s="38" t="str">
        <x:v>優先找有畫面操作、步驟清楚、可暫停跟做的版本</x:v>
      </x:c>
      <x:c r="M492" s="38" t="str">
        <x:v>□ 未挑選</x:v>
      </x:c>
      <x:c r="N492" s="38" t="str"/>
      <x:c r="O492" s="38" t="str"/>
    </x:row>
    <x:row r="493">
      <x:c r="A493" s="38" t="n">
        <x:v>164</x:v>
      </x:c>
      <x:c r="B493" s="38" t="str">
        <x:v>第 4 年</x:v>
      </x:c>
      <x:c r="C493" s="38" t="str">
        <x:v>M11 AI Agent 與自動化工程</x:v>
      </x:c>
      <x:c r="D493" s="38" t="n">
        <x:v>4</x:v>
      </x:c>
      <x:c r="E493" s="38" t="str">
        <x:v>JSON：系統之間的共同語言</x:v>
      </x:c>
      <x:c r="F493" s="38" t="n">
        <x:v>3</x:v>
      </x:c>
      <x:c r="G493" s="38" t="str">
        <x:v>中文延伸／倫理安全</x:v>
      </x:c>
      <x:c r="H493" s="38" t="str">
        <x:v>JSON 系統之間的共同語言 中文 教學 原理 安全 親子 AI agents automation prompt engineering</x:v>
      </x:c>
      <x:c r="I493" s="38" t="str">
        <x:v>https://www.youtube.com/results?search_query=JSON+%E7%B3%BB%E7%B5%B1%E4%B9%8B%E9%96%93%E7%9A%84%E5%85%B1%E5%90%8C%E8%AA%9E%E8%A8%80+%E4%B8%AD%E6%96%87+%E6%95%99%E5%AD%B8+%E5%8E%9F%E7%90%86+%E5%AE%89%E5%85%A8+%E8%A6%AA%E5%AD%90+AI+agents+automation+prompt+engineering</x:v>
      </x:c>
      <x:c r="J493" s="38" t="str">
        <x:v>課後延伸／親子討論</x:v>
      </x:c>
      <x:c r="K493" s="38" t="str">
        <x:v>6–15 分鐘</x:v>
      </x:c>
      <x:c r="L493" s="38" t="str">
        <x:v>補充應用、倫理、安全或真實案例；父子各說一個觀點</x:v>
      </x:c>
      <x:c r="M493" s="38" t="str">
        <x:v>□ 未挑選</x:v>
      </x:c>
      <x:c r="N493" s="38" t="str"/>
      <x:c r="O493" s="38" t="str"/>
    </x:row>
    <x:row r="494">
      <x:c r="A494" s="38" t="n">
        <x:v>165</x:v>
      </x:c>
      <x:c r="B494" s="38" t="str">
        <x:v>第 4 年</x:v>
      </x:c>
      <x:c r="C494" s="38" t="str">
        <x:v>M11 AI Agent 與自動化工程</x:v>
      </x:c>
      <x:c r="D494" s="38" t="n">
        <x:v>5</x:v>
      </x:c>
      <x:c r="E494" s="38" t="str">
        <x:v>HTTP 與 API：向另一個系統借能力</x:v>
      </x:c>
      <x:c r="F494" s="38" t="n">
        <x:v>1</x:v>
      </x:c>
      <x:c r="G494" s="38" t="str">
        <x:v>概念入門／官方優先</x:v>
      </x:c>
      <x:c r="H494" s="38" t="str">
        <x:v>HTTP 與 API 向另一個系統借能力 AI agents automation prompt engineering beginner tutorial OpenAI</x:v>
      </x:c>
      <x:c r="I494" s="38" t="str">
        <x:v>https://www.youtube.com/results?search_query=HTTP+%E8%88%87+API+%E5%90%91%E5%8F%A6%E4%B8%80%E5%80%8B%E7%B3%BB%E7%B5%B1%E5%80%9F%E8%83%BD%E5%8A%9B+AI+agents+automation+prompt+engineering+beginner+tutorial+OpenAI</x:v>
      </x:c>
      <x:c r="J494" s="38" t="str">
        <x:v>課前暖身</x:v>
      </x:c>
      <x:c r="K494" s="38" t="str">
        <x:v>5–12 分鐘</x:v>
      </x:c>
      <x:c r="L494" s="38" t="str">
        <x:v>先建立直覺；看完能說出 3 個關鍵詞</x:v>
      </x:c>
      <x:c r="M494" s="38" t="str">
        <x:v>□ 未挑選</x:v>
      </x:c>
      <x:c r="N494" s="38" t="str"/>
      <x:c r="O494" s="38" t="str"/>
    </x:row>
    <x:row r="495">
      <x:c r="A495" s="38" t="n">
        <x:v>165</x:v>
      </x:c>
      <x:c r="B495" s="38" t="str">
        <x:v>第 4 年</x:v>
      </x:c>
      <x:c r="C495" s="38" t="str">
        <x:v>M11 AI Agent 與自動化工程</x:v>
      </x:c>
      <x:c r="D495" s="38" t="n">
        <x:v>5</x:v>
      </x:c>
      <x:c r="E495" s="38" t="str">
        <x:v>HTTP 與 API：向另一個系統借能力</x:v>
      </x:c>
      <x:c r="F495" s="38" t="n">
        <x:v>2</x:v>
      </x:c>
      <x:c r="G495" s="38" t="str">
        <x:v>跟做實作／專案導向</x:v>
      </x:c>
      <x:c r="H495" s="38" t="str">
        <x:v>HTTP 與 API 向另一個系統借能力 理解 endpoint、method、request、response、status code hands on project for kids AI agents</x:v>
      </x:c>
      <x:c r="I495" s="38" t="str">
        <x:v>https://www.youtube.com/results?search_query=HTTP+%E8%88%87+API+%E5%90%91%E5%8F%A6%E4%B8%80%E5%80%8B%E7%B3%BB%E7%B5%B1%E5%80%9F%E8%83%BD%E5%8A%9B+%E7%90%86%E8%A7%A3+endpoint%E3%80%81method%E3%80%81request%E3%80%81response%E3%80%81status+code+hands+on+project+for+kids+AI+agents+automation+prompt+engineering</x:v>
      </x:c>
      <x:c r="J495" s="38" t="str">
        <x:v>課中實作參考</x:v>
      </x:c>
      <x:c r="K495" s="38" t="str">
        <x:v>8–20 分鐘</x:v>
      </x:c>
      <x:c r="L495" s="38" t="str">
        <x:v>優先找有畫面操作、步驟清楚、可暫停跟做的版本</x:v>
      </x:c>
      <x:c r="M495" s="38" t="str">
        <x:v>□ 未挑選</x:v>
      </x:c>
      <x:c r="N495" s="38" t="str"/>
      <x:c r="O495" s="38" t="str"/>
    </x:row>
    <x:row r="496">
      <x:c r="A496" s="38" t="n">
        <x:v>165</x:v>
      </x:c>
      <x:c r="B496" s="38" t="str">
        <x:v>第 4 年</x:v>
      </x:c>
      <x:c r="C496" s="38" t="str">
        <x:v>M11 AI Agent 與自動化工程</x:v>
      </x:c>
      <x:c r="D496" s="38" t="n">
        <x:v>5</x:v>
      </x:c>
      <x:c r="E496" s="38" t="str">
        <x:v>HTTP 與 API：向另一個系統借能力</x:v>
      </x:c>
      <x:c r="F496" s="38" t="n">
        <x:v>3</x:v>
      </x:c>
      <x:c r="G496" s="38" t="str">
        <x:v>中文延伸／倫理安全</x:v>
      </x:c>
      <x:c r="H496" s="38" t="str">
        <x:v>HTTP 與 API 向另一個系統借能力 中文 教學 原理 安全 親子 AI agents automation prompt engineering</x:v>
      </x:c>
      <x:c r="I496" s="38" t="str">
        <x:v>https://www.youtube.com/results?search_query=HTTP+%E8%88%87+API+%E5%90%91%E5%8F%A6%E4%B8%80%E5%80%8B%E7%B3%BB%E7%B5%B1%E5%80%9F%E8%83%BD%E5%8A%9B+%E4%B8%AD%E6%96%87+%E6%95%99%E5%AD%B8+%E5%8E%9F%E7%90%86+%E5%AE%89%E5%85%A8+%E8%A6%AA%E5%AD%90+AI+agents+automation+prompt+engineering</x:v>
      </x:c>
      <x:c r="J496" s="38" t="str">
        <x:v>課後延伸／親子討論</x:v>
      </x:c>
      <x:c r="K496" s="38" t="str">
        <x:v>6–15 分鐘</x:v>
      </x:c>
      <x:c r="L496" s="38" t="str">
        <x:v>補充應用、倫理、安全或真實案例；父子各說一個觀點</x:v>
      </x:c>
      <x:c r="M496" s="38" t="str">
        <x:v>□ 未挑選</x:v>
      </x:c>
      <x:c r="N496" s="38" t="str"/>
      <x:c r="O496" s="38" t="str"/>
    </x:row>
    <x:row r="497">
      <x:c r="A497" s="38" t="n">
        <x:v>166</x:v>
      </x:c>
      <x:c r="B497" s="38" t="str">
        <x:v>第 4 年</x:v>
      </x:c>
      <x:c r="C497" s="38" t="str">
        <x:v>M11 AI Agent 與自動化工程</x:v>
      </x:c>
      <x:c r="D497" s="38" t="n">
        <x:v>6</x:v>
      </x:c>
      <x:c r="E497" s="38" t="str">
        <x:v>API Key 與秘密管理</x:v>
      </x:c>
      <x:c r="F497" s="38" t="n">
        <x:v>1</x:v>
      </x:c>
      <x:c r="G497" s="38" t="str">
        <x:v>概念入門／官方優先</x:v>
      </x:c>
      <x:c r="H497" s="38" t="str">
        <x:v>API Key 與秘密管理 AI agents automation prompt engineering beginner tutorial OpenAI</x:v>
      </x:c>
      <x:c r="I497" s="38" t="str">
        <x:v>https://www.youtube.com/results?search_query=API+Key+%E8%88%87%E7%A7%98%E5%AF%86%E7%AE%A1%E7%90%86+AI+agents+automation+prompt+engineering+beginner+tutorial+OpenAI</x:v>
      </x:c>
      <x:c r="J497" s="38" t="str">
        <x:v>課前暖身</x:v>
      </x:c>
      <x:c r="K497" s="38" t="str">
        <x:v>5–12 分鐘</x:v>
      </x:c>
      <x:c r="L497" s="38" t="str">
        <x:v>先建立直覺；看完能說出 3 個關鍵詞</x:v>
      </x:c>
      <x:c r="M497" s="38" t="str">
        <x:v>□ 未挑選</x:v>
      </x:c>
      <x:c r="N497" s="38" t="str"/>
      <x:c r="O497" s="38" t="str"/>
    </x:row>
    <x:row r="498">
      <x:c r="A498" s="38" t="n">
        <x:v>166</x:v>
      </x:c>
      <x:c r="B498" s="38" t="str">
        <x:v>第 4 年</x:v>
      </x:c>
      <x:c r="C498" s="38" t="str">
        <x:v>M11 AI Agent 與自動化工程</x:v>
      </x:c>
      <x:c r="D498" s="38" t="n">
        <x:v>6</x:v>
      </x:c>
      <x:c r="E498" s="38" t="str">
        <x:v>API Key 與秘密管理</x:v>
      </x:c>
      <x:c r="F498" s="38" t="n">
        <x:v>2</x:v>
      </x:c>
      <x:c r="G498" s="38" t="str">
        <x:v>跟做實作／專案導向</x:v>
      </x:c>
      <x:c r="H498" s="38" t="str">
        <x:v>API Key 與秘密管理 理解金鑰風險、環境變數、權限最小化與撤銷 hands on project for kids AI agents automation prompt engineering</x:v>
      </x:c>
      <x:c r="I498" s="38" t="str">
        <x:v>https://www.youtube.com/results?search_query=API+Key+%E8%88%87%E7%A7%98%E5%AF%86%E7%AE%A1%E7%90%86+%E7%90%86%E8%A7%A3%E9%87%91%E9%91%B0%E9%A2%A8%E9%9A%AA%E3%80%81%E7%92%B0%E5%A2%83%E8%AE%8A%E6%95%B8%E3%80%81%E6%AC%8A%E9%99%90%E6%9C%80%E5%B0%8F%E5%8C%96%E8%88%87%E6%92%A4%E9%8A%B7+hands+on+project+for+kids+AI+agents+automation+prompt+engineering</x:v>
      </x:c>
      <x:c r="J498" s="38" t="str">
        <x:v>課中實作參考</x:v>
      </x:c>
      <x:c r="K498" s="38" t="str">
        <x:v>8–20 分鐘</x:v>
      </x:c>
      <x:c r="L498" s="38" t="str">
        <x:v>優先找有畫面操作、步驟清楚、可暫停跟做的版本</x:v>
      </x:c>
      <x:c r="M498" s="38" t="str">
        <x:v>□ 未挑選</x:v>
      </x:c>
      <x:c r="N498" s="38" t="str"/>
      <x:c r="O498" s="38" t="str"/>
    </x:row>
    <x:row r="499">
      <x:c r="A499" s="38" t="n">
        <x:v>166</x:v>
      </x:c>
      <x:c r="B499" s="38" t="str">
        <x:v>第 4 年</x:v>
      </x:c>
      <x:c r="C499" s="38" t="str">
        <x:v>M11 AI Agent 與自動化工程</x:v>
      </x:c>
      <x:c r="D499" s="38" t="n">
        <x:v>6</x:v>
      </x:c>
      <x:c r="E499" s="38" t="str">
        <x:v>API Key 與秘密管理</x:v>
      </x:c>
      <x:c r="F499" s="38" t="n">
        <x:v>3</x:v>
      </x:c>
      <x:c r="G499" s="38" t="str">
        <x:v>中文延伸／倫理安全</x:v>
      </x:c>
      <x:c r="H499" s="38" t="str">
        <x:v>API Key 與秘密管理 中文 教學 原理 安全 親子 AI agents automation prompt engineering</x:v>
      </x:c>
      <x:c r="I499" s="38" t="str">
        <x:v>https://www.youtube.com/results?search_query=API+Key+%E8%88%87%E7%A7%98%E5%AF%86%E7%AE%A1%E7%90%86+%E4%B8%AD%E6%96%87+%E6%95%99%E5%AD%B8+%E5%8E%9F%E7%90%86+%E5%AE%89%E5%85%A8+%E8%A6%AA%E5%AD%90+AI+agents+automation+prompt+engineering</x:v>
      </x:c>
      <x:c r="J499" s="38" t="str">
        <x:v>課後延伸／親子討論</x:v>
      </x:c>
      <x:c r="K499" s="38" t="str">
        <x:v>6–15 分鐘</x:v>
      </x:c>
      <x:c r="L499" s="38" t="str">
        <x:v>補充應用、倫理、安全或真實案例；父子各說一個觀點</x:v>
      </x:c>
      <x:c r="M499" s="38" t="str">
        <x:v>□ 未挑選</x:v>
      </x:c>
      <x:c r="N499" s="38" t="str"/>
      <x:c r="O499" s="38" t="str"/>
    </x:row>
    <x:row r="500">
      <x:c r="A500" s="38" t="n">
        <x:v>167</x:v>
      </x:c>
      <x:c r="B500" s="38" t="str">
        <x:v>第 4 年</x:v>
      </x:c>
      <x:c r="C500" s="38" t="str">
        <x:v>M11 AI Agent 與自動化工程</x:v>
      </x:c>
      <x:c r="D500" s="38" t="n">
        <x:v>7</x:v>
      </x:c>
      <x:c r="E500" s="38" t="str">
        <x:v>Prompt Template：可重複的工作指令</x:v>
      </x:c>
      <x:c r="F500" s="38" t="n">
        <x:v>1</x:v>
      </x:c>
      <x:c r="G500" s="38" t="str">
        <x:v>概念入門／官方優先</x:v>
      </x:c>
      <x:c r="H500" s="38" t="str">
        <x:v>Prompt Template 可重複的工作指令 AI agents automation prompt engineering beginner tutorial OpenAI</x:v>
      </x:c>
      <x:c r="I500" s="38" t="str">
        <x:v>https://www.youtube.com/results?search_query=Prompt+Template+%E5%8F%AF%E9%87%8D%E8%A4%87%E7%9A%84%E5%B7%A5%E4%BD%9C%E6%8C%87%E4%BB%A4+AI+agents+automation+prompt+engineering+beginner+tutorial+OpenAI</x:v>
      </x:c>
      <x:c r="J500" s="38" t="str">
        <x:v>課前暖身</x:v>
      </x:c>
      <x:c r="K500" s="38" t="str">
        <x:v>5–12 分鐘</x:v>
      </x:c>
      <x:c r="L500" s="38" t="str">
        <x:v>先建立直覺；看完能說出 3 個關鍵詞</x:v>
      </x:c>
      <x:c r="M500" s="38" t="str">
        <x:v>□ 未挑選</x:v>
      </x:c>
      <x:c r="N500" s="38" t="str"/>
      <x:c r="O500" s="38" t="str"/>
    </x:row>
    <x:row r="501">
      <x:c r="A501" s="38" t="n">
        <x:v>167</x:v>
      </x:c>
      <x:c r="B501" s="38" t="str">
        <x:v>第 4 年</x:v>
      </x:c>
      <x:c r="C501" s="38" t="str">
        <x:v>M11 AI Agent 與自動化工程</x:v>
      </x:c>
      <x:c r="D501" s="38" t="n">
        <x:v>7</x:v>
      </x:c>
      <x:c r="E501" s="38" t="str">
        <x:v>Prompt Template：可重複的工作指令</x:v>
      </x:c>
      <x:c r="F501" s="38" t="n">
        <x:v>2</x:v>
      </x:c>
      <x:c r="G501" s="38" t="str">
        <x:v>跟做實作／專案導向</x:v>
      </x:c>
      <x:c r="H501" s="38" t="str">
        <x:v>Prompt Template 可重複的工作指令 把角色、輸入、步驟、限制、輸出與驗收模板化 hands on project for kids AI agents automation prompt engineering</x:v>
      </x:c>
      <x:c r="I501" s="38" t="str">
        <x:v>https://www.youtube.com/results?search_query=Prompt+Template+%E5%8F%AF%E9%87%8D%E8%A4%87%E7%9A%84%E5%B7%A5%E4%BD%9C%E6%8C%87%E4%BB%A4+%E6%8A%8A%E8%A7%92%E8%89%B2%E3%80%81%E8%BC%B8%E5%85%A5%E3%80%81%E6%AD%A5%E9%A9%9F%E3%80%81%E9%99%90%E5%88%B6%E3%80%81%E8%BC%B8%E5%87%BA%E8%88%87%E9%A9%97%E6%94%B6%E6%A8%A1%E6%9D%BF%E5%8C%96+hands+on+project+for+kids+AI+agents+automation+prompt+engineering</x:v>
      </x:c>
      <x:c r="J501" s="38" t="str">
        <x:v>課中實作參考</x:v>
      </x:c>
      <x:c r="K501" s="38" t="str">
        <x:v>8–20 分鐘</x:v>
      </x:c>
      <x:c r="L501" s="38" t="str">
        <x:v>優先找有畫面操作、步驟清楚、可暫停跟做的版本</x:v>
      </x:c>
      <x:c r="M501" s="38" t="str">
        <x:v>□ 未挑選</x:v>
      </x:c>
      <x:c r="N501" s="38" t="str"/>
      <x:c r="O501" s="38" t="str"/>
    </x:row>
    <x:row r="502">
      <x:c r="A502" s="38" t="n">
        <x:v>167</x:v>
      </x:c>
      <x:c r="B502" s="38" t="str">
        <x:v>第 4 年</x:v>
      </x:c>
      <x:c r="C502" s="38" t="str">
        <x:v>M11 AI Agent 與自動化工程</x:v>
      </x:c>
      <x:c r="D502" s="38" t="n">
        <x:v>7</x:v>
      </x:c>
      <x:c r="E502" s="38" t="str">
        <x:v>Prompt Template：可重複的工作指令</x:v>
      </x:c>
      <x:c r="F502" s="38" t="n">
        <x:v>3</x:v>
      </x:c>
      <x:c r="G502" s="38" t="str">
        <x:v>中文延伸／倫理安全</x:v>
      </x:c>
      <x:c r="H502" s="38" t="str">
        <x:v>Prompt Template 可重複的工作指令 中文 教學 原理 安全 親子 AI agents automation prompt engineering</x:v>
      </x:c>
      <x:c r="I502" s="38" t="str">
        <x:v>https://www.youtube.com/results?search_query=Prompt+Template+%E5%8F%AF%E9%87%8D%E8%A4%87%E7%9A%84%E5%B7%A5%E4%BD%9C%E6%8C%87%E4%BB%A4+%E4%B8%AD%E6%96%87+%E6%95%99%E5%AD%B8+%E5%8E%9F%E7%90%86+%E5%AE%89%E5%85%A8+%E8%A6%AA%E5%AD%90+AI+agents+automation+prompt+engineering</x:v>
      </x:c>
      <x:c r="J502" s="38" t="str">
        <x:v>課後延伸／親子討論</x:v>
      </x:c>
      <x:c r="K502" s="38" t="str">
        <x:v>6–15 分鐘</x:v>
      </x:c>
      <x:c r="L502" s="38" t="str">
        <x:v>補充應用、倫理、安全或真實案例；父子各說一個觀點</x:v>
      </x:c>
      <x:c r="M502" s="38" t="str">
        <x:v>□ 未挑選</x:v>
      </x:c>
      <x:c r="N502" s="38" t="str"/>
      <x:c r="O502" s="38" t="str"/>
    </x:row>
    <x:row r="503">
      <x:c r="A503" s="38" t="n">
        <x:v>168</x:v>
      </x:c>
      <x:c r="B503" s="38" t="str">
        <x:v>第 4 年</x:v>
      </x:c>
      <x:c r="C503" s="38" t="str">
        <x:v>M11 AI Agent 與自動化工程</x:v>
      </x:c>
      <x:c r="D503" s="38" t="n">
        <x:v>8</x:v>
      </x:c>
      <x:c r="E503" s="38" t="str">
        <x:v>Context 與 Memory：記住什麼、忘掉什麼</x:v>
      </x:c>
      <x:c r="F503" s="38" t="n">
        <x:v>1</x:v>
      </x:c>
      <x:c r="G503" s="38" t="str">
        <x:v>概念入門／官方優先</x:v>
      </x:c>
      <x:c r="H503" s="38" t="str">
        <x:v>Context 與 Memory 記住什麼、忘掉什麼 AI agents automation prompt engineering beginner tutorial OpenAI</x:v>
      </x:c>
      <x:c r="I503" s="38" t="str">
        <x:v>https://www.youtube.com/results?search_query=Context+%E8%88%87+Memory+%E8%A8%98%E4%BD%8F%E4%BB%80%E9%BA%BC%E3%80%81%E5%BF%98%E6%8E%89%E4%BB%80%E9%BA%BC+AI+agents+automation+prompt+engineering+beginner+tutorial+OpenAI</x:v>
      </x:c>
      <x:c r="J503" s="38" t="str">
        <x:v>課前暖身</x:v>
      </x:c>
      <x:c r="K503" s="38" t="str">
        <x:v>5–12 分鐘</x:v>
      </x:c>
      <x:c r="L503" s="38" t="str">
        <x:v>先建立直覺；看完能說出 3 個關鍵詞</x:v>
      </x:c>
      <x:c r="M503" s="38" t="str">
        <x:v>□ 未挑選</x:v>
      </x:c>
      <x:c r="N503" s="38" t="str"/>
      <x:c r="O503" s="38" t="str"/>
    </x:row>
    <x:row r="504">
      <x:c r="A504" s="38" t="n">
        <x:v>168</x:v>
      </x:c>
      <x:c r="B504" s="38" t="str">
        <x:v>第 4 年</x:v>
      </x:c>
      <x:c r="C504" s="38" t="str">
        <x:v>M11 AI Agent 與自動化工程</x:v>
      </x:c>
      <x:c r="D504" s="38" t="n">
        <x:v>8</x:v>
      </x:c>
      <x:c r="E504" s="38" t="str">
        <x:v>Context 與 Memory：記住什麼、忘掉什麼</x:v>
      </x:c>
      <x:c r="F504" s="38" t="n">
        <x:v>2</x:v>
      </x:c>
      <x:c r="G504" s="38" t="str">
        <x:v>跟做實作／專案導向</x:v>
      </x:c>
      <x:c r="H504" s="38" t="str">
        <x:v>Context 與 Memory 記住什麼、忘掉什麼 區分當次上下文、長期偏好、文件記憶與敏感資料 hands on project for kids AI agents automation prompt</x:v>
      </x:c>
      <x:c r="I504" s="38" t="str">
        <x:v>https://www.youtube.com/results?search_query=Context+%E8%88%87+Memory+%E8%A8%98%E4%BD%8F%E4%BB%80%E9%BA%BC%E3%80%81%E5%BF%98%E6%8E%89%E4%BB%80%E9%BA%BC+%E5%8D%80%E5%88%86%E7%95%B6%E6%AC%A1%E4%B8%8A%E4%B8%8B%E6%96%87%E3%80%81%E9%95%B7%E6%9C%9F%E5%81%8F%E5%A5%BD%E3%80%81%E6%96%87%E4%BB%B6%E8%A8%98%E6%86%B6%E8%88%87%E6%95%8F%E6%84%9F%E8%B3%87%E6%96%99+hands+on+project+for+kids+AI+agents+automation+prompt+engineering</x:v>
      </x:c>
      <x:c r="J504" s="38" t="str">
        <x:v>課中實作參考</x:v>
      </x:c>
      <x:c r="K504" s="38" t="str">
        <x:v>8–20 分鐘</x:v>
      </x:c>
      <x:c r="L504" s="38" t="str">
        <x:v>優先找有畫面操作、步驟清楚、可暫停跟做的版本</x:v>
      </x:c>
      <x:c r="M504" s="38" t="str">
        <x:v>□ 未挑選</x:v>
      </x:c>
      <x:c r="N504" s="38" t="str"/>
      <x:c r="O504" s="38" t="str"/>
    </x:row>
    <x:row r="505">
      <x:c r="A505" s="38" t="n">
        <x:v>168</x:v>
      </x:c>
      <x:c r="B505" s="38" t="str">
        <x:v>第 4 年</x:v>
      </x:c>
      <x:c r="C505" s="38" t="str">
        <x:v>M11 AI Agent 與自動化工程</x:v>
      </x:c>
      <x:c r="D505" s="38" t="n">
        <x:v>8</x:v>
      </x:c>
      <x:c r="E505" s="38" t="str">
        <x:v>Context 與 Memory：記住什麼、忘掉什麼</x:v>
      </x:c>
      <x:c r="F505" s="38" t="n">
        <x:v>3</x:v>
      </x:c>
      <x:c r="G505" s="38" t="str">
        <x:v>中文延伸／倫理安全</x:v>
      </x:c>
      <x:c r="H505" s="38" t="str">
        <x:v>Context 與 Memory 記住什麼、忘掉什麼 中文 教學 原理 安全 親子 AI agents automation prompt engineering</x:v>
      </x:c>
      <x:c r="I505" s="38" t="str">
        <x:v>https://www.youtube.com/results?search_query=Context+%E8%88%87+Memory+%E8%A8%98%E4%BD%8F%E4%BB%80%E9%BA%BC%E3%80%81%E5%BF%98%E6%8E%89%E4%BB%80%E9%BA%BC+%E4%B8%AD%E6%96%87+%E6%95%99%E5%AD%B8+%E5%8E%9F%E7%90%86+%E5%AE%89%E5%85%A8+%E8%A6%AA%E5%AD%90+AI+agents+automation+prompt+engineering</x:v>
      </x:c>
      <x:c r="J505" s="38" t="str">
        <x:v>課後延伸／親子討論</x:v>
      </x:c>
      <x:c r="K505" s="38" t="str">
        <x:v>6–15 分鐘</x:v>
      </x:c>
      <x:c r="L505" s="38" t="str">
        <x:v>補充應用、倫理、安全或真實案例；父子各說一個觀點</x:v>
      </x:c>
      <x:c r="M505" s="38" t="str">
        <x:v>□ 未挑選</x:v>
      </x:c>
      <x:c r="N505" s="38" t="str"/>
      <x:c r="O505" s="38" t="str"/>
    </x:row>
    <x:row r="506">
      <x:c r="A506" s="38" t="n">
        <x:v>169</x:v>
      </x:c>
      <x:c r="B506" s="38" t="str">
        <x:v>第 4 年</x:v>
      </x:c>
      <x:c r="C506" s="38" t="str">
        <x:v>M11 AI Agent 與自動化工程</x:v>
      </x:c>
      <x:c r="D506" s="38" t="n">
        <x:v>9</x:v>
      </x:c>
      <x:c r="E506" s="38" t="str">
        <x:v>Planner／Executor／Reviewer</x:v>
      </x:c>
      <x:c r="F506" s="38" t="n">
        <x:v>1</x:v>
      </x:c>
      <x:c r="G506" s="38" t="str">
        <x:v>概念入門／官方優先</x:v>
      </x:c>
      <x:c r="H506" s="38" t="str">
        <x:v>Planner Executor Reviewer AI agents automation prompt engineering beginner tutorial OpenAI</x:v>
      </x:c>
      <x:c r="I506" s="38" t="str">
        <x:v>https://www.youtube.com/results?search_query=Planner+Executor+Reviewer+AI+agents+automation+prompt+engineering+beginner+tutorial+OpenAI</x:v>
      </x:c>
      <x:c r="J506" s="38" t="str">
        <x:v>課前暖身</x:v>
      </x:c>
      <x:c r="K506" s="38" t="str">
        <x:v>5–12 分鐘</x:v>
      </x:c>
      <x:c r="L506" s="38" t="str">
        <x:v>先建立直覺；看完能說出 3 個關鍵詞</x:v>
      </x:c>
      <x:c r="M506" s="38" t="str">
        <x:v>□ 未挑選</x:v>
      </x:c>
      <x:c r="N506" s="38" t="str"/>
      <x:c r="O506" s="38" t="str"/>
    </x:row>
    <x:row r="507">
      <x:c r="A507" s="38" t="n">
        <x:v>169</x:v>
      </x:c>
      <x:c r="B507" s="38" t="str">
        <x:v>第 4 年</x:v>
      </x:c>
      <x:c r="C507" s="38" t="str">
        <x:v>M11 AI Agent 與自動化工程</x:v>
      </x:c>
      <x:c r="D507" s="38" t="n">
        <x:v>9</x:v>
      </x:c>
      <x:c r="E507" s="38" t="str">
        <x:v>Planner／Executor／Reviewer</x:v>
      </x:c>
      <x:c r="F507" s="38" t="n">
        <x:v>2</x:v>
      </x:c>
      <x:c r="G507" s="38" t="str">
        <x:v>跟做實作／專案導向</x:v>
      </x:c>
      <x:c r="H507" s="38" t="str">
        <x:v>Planner Executor Reviewer 用角色分工降低遺漏並增加檢查 hands on project for kids AI agents automation prompt engineering</x:v>
      </x:c>
      <x:c r="I507" s="38" t="str">
        <x:v>https://www.youtube.com/results?search_query=Planner+Executor+Reviewer+%E7%94%A8%E8%A7%92%E8%89%B2%E5%88%86%E5%B7%A5%E9%99%8D%E4%BD%8E%E9%81%BA%E6%BC%8F%E4%B8%A6%E5%A2%9E%E5%8A%A0%E6%AA%A2%E6%9F%A5+hands+on+project+for+kids+AI+agents+automation+prompt+engineering</x:v>
      </x:c>
      <x:c r="J507" s="38" t="str">
        <x:v>課中實作參考</x:v>
      </x:c>
      <x:c r="K507" s="38" t="str">
        <x:v>8–20 分鐘</x:v>
      </x:c>
      <x:c r="L507" s="38" t="str">
        <x:v>優先找有畫面操作、步驟清楚、可暫停跟做的版本</x:v>
      </x:c>
      <x:c r="M507" s="38" t="str">
        <x:v>□ 未挑選</x:v>
      </x:c>
      <x:c r="N507" s="38" t="str"/>
      <x:c r="O507" s="38" t="str"/>
    </x:row>
    <x:row r="508">
      <x:c r="A508" s="38" t="n">
        <x:v>169</x:v>
      </x:c>
      <x:c r="B508" s="38" t="str">
        <x:v>第 4 年</x:v>
      </x:c>
      <x:c r="C508" s="38" t="str">
        <x:v>M11 AI Agent 與自動化工程</x:v>
      </x:c>
      <x:c r="D508" s="38" t="n">
        <x:v>9</x:v>
      </x:c>
      <x:c r="E508" s="38" t="str">
        <x:v>Planner／Executor／Reviewer</x:v>
      </x:c>
      <x:c r="F508" s="38" t="n">
        <x:v>3</x:v>
      </x:c>
      <x:c r="G508" s="38" t="str">
        <x:v>中文延伸／倫理安全</x:v>
      </x:c>
      <x:c r="H508" s="38" t="str">
        <x:v>Planner Executor Reviewer 中文 教學 原理 安全 親子 AI agents automation prompt engineering</x:v>
      </x:c>
      <x:c r="I508" s="38" t="str">
        <x:v>https://www.youtube.com/results?search_query=Planner+Executor+Reviewer+%E4%B8%AD%E6%96%87+%E6%95%99%E5%AD%B8+%E5%8E%9F%E7%90%86+%E5%AE%89%E5%85%A8+%E8%A6%AA%E5%AD%90+AI+agents+automation+prompt+engineering</x:v>
      </x:c>
      <x:c r="J508" s="38" t="str">
        <x:v>課後延伸／親子討論</x:v>
      </x:c>
      <x:c r="K508" s="38" t="str">
        <x:v>6–15 分鐘</x:v>
      </x:c>
      <x:c r="L508" s="38" t="str">
        <x:v>補充應用、倫理、安全或真實案例；父子各說一個觀點</x:v>
      </x:c>
      <x:c r="M508" s="38" t="str">
        <x:v>□ 未挑選</x:v>
      </x:c>
      <x:c r="N508" s="38" t="str"/>
      <x:c r="O508" s="38" t="str"/>
    </x:row>
    <x:row r="509">
      <x:c r="A509" s="38" t="n">
        <x:v>170</x:v>
      </x:c>
      <x:c r="B509" s="38" t="str">
        <x:v>第 4 年</x:v>
      </x:c>
      <x:c r="C509" s="38" t="str">
        <x:v>M11 AI Agent 與自動化工程</x:v>
      </x:c>
      <x:c r="D509" s="38" t="n">
        <x:v>10</x:v>
      </x:c>
      <x:c r="E509" s="38" t="str">
        <x:v>Evals：Agent 做完不代表做對</x:v>
      </x:c>
      <x:c r="F509" s="38" t="n">
        <x:v>1</x:v>
      </x:c>
      <x:c r="G509" s="38" t="str">
        <x:v>概念入門／官方優先</x:v>
      </x:c>
      <x:c r="H509" s="38" t="str">
        <x:v>Evals Agent 做完不代表做對 AI agents automation prompt engineering beginner tutorial OpenAI</x:v>
      </x:c>
      <x:c r="I509" s="38" t="str">
        <x:v>https://www.youtube.com/results?search_query=Evals+Agent+%E5%81%9A%E5%AE%8C%E4%B8%8D%E4%BB%A3%E8%A1%A8%E5%81%9A%E5%B0%8D+AI+agents+automation+prompt+engineering+beginner+tutorial+OpenAI</x:v>
      </x:c>
      <x:c r="J509" s="38" t="str">
        <x:v>課前暖身</x:v>
      </x:c>
      <x:c r="K509" s="38" t="str">
        <x:v>5–12 分鐘</x:v>
      </x:c>
      <x:c r="L509" s="38" t="str">
        <x:v>先建立直覺；看完能說出 3 個關鍵詞</x:v>
      </x:c>
      <x:c r="M509" s="38" t="str">
        <x:v>□ 未挑選</x:v>
      </x:c>
      <x:c r="N509" s="38" t="str"/>
      <x:c r="O509" s="38" t="str"/>
    </x:row>
    <x:row r="510">
      <x:c r="A510" s="38" t="n">
        <x:v>170</x:v>
      </x:c>
      <x:c r="B510" s="38" t="str">
        <x:v>第 4 年</x:v>
      </x:c>
      <x:c r="C510" s="38" t="str">
        <x:v>M11 AI Agent 與自動化工程</x:v>
      </x:c>
      <x:c r="D510" s="38" t="n">
        <x:v>10</x:v>
      </x:c>
      <x:c r="E510" s="38" t="str">
        <x:v>Evals：Agent 做完不代表做對</x:v>
      </x:c>
      <x:c r="F510" s="38" t="n">
        <x:v>2</x:v>
      </x:c>
      <x:c r="G510" s="38" t="str">
        <x:v>跟做實作／專案導向</x:v>
      </x:c>
      <x:c r="H510" s="38" t="str">
        <x:v>Evals Agent 做完不代表做對 定義準確率、完整性、來源、格式、成本與失敗案例 hands on project for kids AI agents automation prompt engineering</x:v>
      </x:c>
      <x:c r="I510" s="38" t="str">
        <x:v>https://www.youtube.com/results?search_query=Evals+Agent+%E5%81%9A%E5%AE%8C%E4%B8%8D%E4%BB%A3%E8%A1%A8%E5%81%9A%E5%B0%8D+%E5%AE%9A%E7%BE%A9%E6%BA%96%E7%A2%BA%E7%8E%87%E3%80%81%E5%AE%8C%E6%95%B4%E6%80%A7%E3%80%81%E4%BE%86%E6%BA%90%E3%80%81%E6%A0%BC%E5%BC%8F%E3%80%81%E6%88%90%E6%9C%AC%E8%88%87%E5%A4%B1%E6%95%97%E6%A1%88%E4%BE%8B+hands+on+project+for+kids+AI+agents+automation+prompt+engineering</x:v>
      </x:c>
      <x:c r="J510" s="38" t="str">
        <x:v>課中實作參考</x:v>
      </x:c>
      <x:c r="K510" s="38" t="str">
        <x:v>8–20 分鐘</x:v>
      </x:c>
      <x:c r="L510" s="38" t="str">
        <x:v>優先找有畫面操作、步驟清楚、可暫停跟做的版本</x:v>
      </x:c>
      <x:c r="M510" s="38" t="str">
        <x:v>□ 未挑選</x:v>
      </x:c>
      <x:c r="N510" s="38" t="str"/>
      <x:c r="O510" s="38" t="str"/>
    </x:row>
    <x:row r="511">
      <x:c r="A511" s="38" t="n">
        <x:v>170</x:v>
      </x:c>
      <x:c r="B511" s="38" t="str">
        <x:v>第 4 年</x:v>
      </x:c>
      <x:c r="C511" s="38" t="str">
        <x:v>M11 AI Agent 與自動化工程</x:v>
      </x:c>
      <x:c r="D511" s="38" t="n">
        <x:v>10</x:v>
      </x:c>
      <x:c r="E511" s="38" t="str">
        <x:v>Evals：Agent 做完不代表做對</x:v>
      </x:c>
      <x:c r="F511" s="38" t="n">
        <x:v>3</x:v>
      </x:c>
      <x:c r="G511" s="38" t="str">
        <x:v>中文延伸／倫理安全</x:v>
      </x:c>
      <x:c r="H511" s="38" t="str">
        <x:v>Evals Agent 做完不代表做對 中文 教學 原理 安全 親子 AI agents automation prompt engineering</x:v>
      </x:c>
      <x:c r="I511" s="38" t="str">
        <x:v>https://www.youtube.com/results?search_query=Evals+Agent+%E5%81%9A%E5%AE%8C%E4%B8%8D%E4%BB%A3%E8%A1%A8%E5%81%9A%E5%B0%8D+%E4%B8%AD%E6%96%87+%E6%95%99%E5%AD%B8+%E5%8E%9F%E7%90%86+%E5%AE%89%E5%85%A8+%E8%A6%AA%E5%AD%90+AI+agents+automation+prompt+engineering</x:v>
      </x:c>
      <x:c r="J511" s="38" t="str">
        <x:v>課後延伸／親子討論</x:v>
      </x:c>
      <x:c r="K511" s="38" t="str">
        <x:v>6–15 分鐘</x:v>
      </x:c>
      <x:c r="L511" s="38" t="str">
        <x:v>補充應用、倫理、安全或真實案例；父子各說一個觀點</x:v>
      </x:c>
      <x:c r="M511" s="38" t="str">
        <x:v>□ 未挑選</x:v>
      </x:c>
      <x:c r="N511" s="38" t="str"/>
      <x:c r="O511" s="38" t="str"/>
    </x:row>
    <x:row r="512">
      <x:c r="A512" s="38" t="n">
        <x:v>171</x:v>
      </x:c>
      <x:c r="B512" s="38" t="str">
        <x:v>第 4 年</x:v>
      </x:c>
      <x:c r="C512" s="38" t="str">
        <x:v>M11 AI Agent 與自動化工程</x:v>
      </x:c>
      <x:c r="D512" s="38" t="n">
        <x:v>11</x:v>
      </x:c>
      <x:c r="E512" s="38" t="str">
        <x:v>檔案自動化：整理錄音與專案</x:v>
      </x:c>
      <x:c r="F512" s="38" t="n">
        <x:v>1</x:v>
      </x:c>
      <x:c r="G512" s="38" t="str">
        <x:v>概念入門／官方優先</x:v>
      </x:c>
      <x:c r="H512" s="38" t="str">
        <x:v>檔案自動化 整理錄音與專案 AI agents automation prompt engineering beginner tutorial OpenAI</x:v>
      </x:c>
      <x:c r="I512" s="38" t="str">
        <x:v>https://www.youtube.com/results?search_query=%E6%AA%94%E6%A1%88%E8%87%AA%E5%8B%95%E5%8C%96+%E6%95%B4%E7%90%86%E9%8C%84%E9%9F%B3%E8%88%87%E5%B0%88%E6%A1%88+AI+agents+automation+prompt+engineering+beginner+tutorial+OpenAI</x:v>
      </x:c>
      <x:c r="J512" s="38" t="str">
        <x:v>課前暖身</x:v>
      </x:c>
      <x:c r="K512" s="38" t="str">
        <x:v>5–12 分鐘</x:v>
      </x:c>
      <x:c r="L512" s="38" t="str">
        <x:v>先建立直覺；看完能說出 3 個關鍵詞</x:v>
      </x:c>
      <x:c r="M512" s="38" t="str">
        <x:v>□ 未挑選</x:v>
      </x:c>
      <x:c r="N512" s="38" t="str"/>
      <x:c r="O512" s="38" t="str"/>
    </x:row>
    <x:row r="513">
      <x:c r="A513" s="38" t="n">
        <x:v>171</x:v>
      </x:c>
      <x:c r="B513" s="38" t="str">
        <x:v>第 4 年</x:v>
      </x:c>
      <x:c r="C513" s="38" t="str">
        <x:v>M11 AI Agent 與自動化工程</x:v>
      </x:c>
      <x:c r="D513" s="38" t="n">
        <x:v>11</x:v>
      </x:c>
      <x:c r="E513" s="38" t="str">
        <x:v>檔案自動化：整理錄音與專案</x:v>
      </x:c>
      <x:c r="F513" s="38" t="n">
        <x:v>2</x:v>
      </x:c>
      <x:c r="G513" s="38" t="str">
        <x:v>跟做實作／專案導向</x:v>
      </x:c>
      <x:c r="H513" s="38" t="str">
        <x:v>檔案自動化 整理錄音與專案 安全讀寫、命名、重複執行與 dry run hands on project for kids AI agents automation prompt</x:v>
      </x:c>
      <x:c r="I513" s="38" t="str">
        <x:v>https://www.youtube.com/results?search_query=%E6%AA%94%E6%A1%88%E8%87%AA%E5%8B%95%E5%8C%96+%E6%95%B4%E7%90%86%E9%8C%84%E9%9F%B3%E8%88%87%E5%B0%88%E6%A1%88+%E5%AE%89%E5%85%A8%E8%AE%80%E5%AF%AB%E3%80%81%E5%91%BD%E5%90%8D%E3%80%81%E9%87%8D%E8%A4%87%E5%9F%B7%E8%A1%8C%E8%88%87+dry+run+hands+on+project+for+kids+AI+agents+automation+prompt+engineering</x:v>
      </x:c>
      <x:c r="J513" s="38" t="str">
        <x:v>課中實作參考</x:v>
      </x:c>
      <x:c r="K513" s="38" t="str">
        <x:v>8–20 分鐘</x:v>
      </x:c>
      <x:c r="L513" s="38" t="str">
        <x:v>優先找有畫面操作、步驟清楚、可暫停跟做的版本</x:v>
      </x:c>
      <x:c r="M513" s="38" t="str">
        <x:v>□ 未挑選</x:v>
      </x:c>
      <x:c r="N513" s="38" t="str"/>
      <x:c r="O513" s="38" t="str"/>
    </x:row>
    <x:row r="514">
      <x:c r="A514" s="38" t="n">
        <x:v>171</x:v>
      </x:c>
      <x:c r="B514" s="38" t="str">
        <x:v>第 4 年</x:v>
      </x:c>
      <x:c r="C514" s="38" t="str">
        <x:v>M11 AI Agent 與自動化工程</x:v>
      </x:c>
      <x:c r="D514" s="38" t="n">
        <x:v>11</x:v>
      </x:c>
      <x:c r="E514" s="38" t="str">
        <x:v>檔案自動化：整理錄音與專案</x:v>
      </x:c>
      <x:c r="F514" s="38" t="n">
        <x:v>3</x:v>
      </x:c>
      <x:c r="G514" s="38" t="str">
        <x:v>中文延伸／倫理安全</x:v>
      </x:c>
      <x:c r="H514" s="38" t="str">
        <x:v>檔案自動化 整理錄音與專案 中文 教學 原理 安全 親子 AI agents automation prompt engineering</x:v>
      </x:c>
      <x:c r="I514" s="38" t="str">
        <x:v>https://www.youtube.com/results?search_query=%E6%AA%94%E6%A1%88%E8%87%AA%E5%8B%95%E5%8C%96+%E6%95%B4%E7%90%86%E9%8C%84%E9%9F%B3%E8%88%87%E5%B0%88%E6%A1%88+%E4%B8%AD%E6%96%87+%E6%95%99%E5%AD%B8+%E5%8E%9F%E7%90%86+%E5%AE%89%E5%85%A8+%E8%A6%AA%E5%AD%90+AI+agents+automation+prompt+engineering</x:v>
      </x:c>
      <x:c r="J514" s="38" t="str">
        <x:v>課後延伸／親子討論</x:v>
      </x:c>
      <x:c r="K514" s="38" t="str">
        <x:v>6–15 分鐘</x:v>
      </x:c>
      <x:c r="L514" s="38" t="str">
        <x:v>補充應用、倫理、安全或真實案例；父子各說一個觀點</x:v>
      </x:c>
      <x:c r="M514" s="38" t="str">
        <x:v>□ 未挑選</x:v>
      </x:c>
      <x:c r="N514" s="38" t="str"/>
      <x:c r="O514" s="38" t="str"/>
    </x:row>
    <x:row r="515">
      <x:c r="A515" s="38" t="n">
        <x:v>172</x:v>
      </x:c>
      <x:c r="B515" s="38" t="str">
        <x:v>第 4 年</x:v>
      </x:c>
      <x:c r="C515" s="38" t="str">
        <x:v>M11 AI Agent 與自動化工程</x:v>
      </x:c>
      <x:c r="D515" s="38" t="n">
        <x:v>12</x:v>
      </x:c>
      <x:c r="E515" s="38" t="str">
        <x:v>有來源的研究 Agent</x:v>
      </x:c>
      <x:c r="F515" s="38" t="n">
        <x:v>1</x:v>
      </x:c>
      <x:c r="G515" s="38" t="str">
        <x:v>概念入門／官方優先</x:v>
      </x:c>
      <x:c r="H515" s="38" t="str">
        <x:v>有來源的研究 Agent AI agents automation prompt engineering beginner tutorial OpenAI</x:v>
      </x:c>
      <x:c r="I515" s="38" t="str">
        <x:v>https://www.youtube.com/results?search_query=%E6%9C%89%E4%BE%86%E6%BA%90%E7%9A%84%E7%A0%94%E7%A9%B6+Agent+AI+agents+automation+prompt+engineering+beginner+tutorial+OpenAI</x:v>
      </x:c>
      <x:c r="J515" s="38" t="str">
        <x:v>課前暖身</x:v>
      </x:c>
      <x:c r="K515" s="38" t="str">
        <x:v>5–12 分鐘</x:v>
      </x:c>
      <x:c r="L515" s="38" t="str">
        <x:v>先建立直覺；看完能說出 3 個關鍵詞</x:v>
      </x:c>
      <x:c r="M515" s="38" t="str">
        <x:v>□ 未挑選</x:v>
      </x:c>
      <x:c r="N515" s="38" t="str"/>
      <x:c r="O515" s="38" t="str"/>
    </x:row>
    <x:row r="516">
      <x:c r="A516" s="38" t="n">
        <x:v>172</x:v>
      </x:c>
      <x:c r="B516" s="38" t="str">
        <x:v>第 4 年</x:v>
      </x:c>
      <x:c r="C516" s="38" t="str">
        <x:v>M11 AI Agent 與自動化工程</x:v>
      </x:c>
      <x:c r="D516" s="38" t="n">
        <x:v>12</x:v>
      </x:c>
      <x:c r="E516" s="38" t="str">
        <x:v>有來源的研究 Agent</x:v>
      </x:c>
      <x:c r="F516" s="38" t="n">
        <x:v>2</x:v>
      </x:c>
      <x:c r="G516" s="38" t="str">
        <x:v>跟做實作／專案導向</x:v>
      </x:c>
      <x:c r="H516" s="38" t="str">
        <x:v>有來源的研究 Agent 建立搜尋、閱讀、摘要、交叉驗證與引用流程 hands on project for kids AI agents automation prompt engineering</x:v>
      </x:c>
      <x:c r="I516" s="38" t="str">
        <x:v>https://www.youtube.com/results?search_query=%E6%9C%89%E4%BE%86%E6%BA%90%E7%9A%84%E7%A0%94%E7%A9%B6+Agent+%E5%BB%BA%E7%AB%8B%E6%90%9C%E5%B0%8B%E3%80%81%E9%96%B1%E8%AE%80%E3%80%81%E6%91%98%E8%A6%81%E3%80%81%E4%BA%A4%E5%8F%89%E9%A9%97%E8%AD%89%E8%88%87%E5%BC%95%E7%94%A8%E6%B5%81%E7%A8%8B+hands+on+project+for+kids+AI+agents+automation+prompt+engineering</x:v>
      </x:c>
      <x:c r="J516" s="38" t="str">
        <x:v>課中實作參考</x:v>
      </x:c>
      <x:c r="K516" s="38" t="str">
        <x:v>8–20 分鐘</x:v>
      </x:c>
      <x:c r="L516" s="38" t="str">
        <x:v>優先找有畫面操作、步驟清楚、可暫停跟做的版本</x:v>
      </x:c>
      <x:c r="M516" s="38" t="str">
        <x:v>□ 未挑選</x:v>
      </x:c>
      <x:c r="N516" s="38" t="str"/>
      <x:c r="O516" s="38" t="str"/>
    </x:row>
    <x:row r="517">
      <x:c r="A517" s="38" t="n">
        <x:v>172</x:v>
      </x:c>
      <x:c r="B517" s="38" t="str">
        <x:v>第 4 年</x:v>
      </x:c>
      <x:c r="C517" s="38" t="str">
        <x:v>M11 AI Agent 與自動化工程</x:v>
      </x:c>
      <x:c r="D517" s="38" t="n">
        <x:v>12</x:v>
      </x:c>
      <x:c r="E517" s="38" t="str">
        <x:v>有來源的研究 Agent</x:v>
      </x:c>
      <x:c r="F517" s="38" t="n">
        <x:v>3</x:v>
      </x:c>
      <x:c r="G517" s="38" t="str">
        <x:v>中文延伸／倫理安全</x:v>
      </x:c>
      <x:c r="H517" s="38" t="str">
        <x:v>有來源的研究 Agent 中文 教學 原理 安全 親子 AI agents automation prompt engineering</x:v>
      </x:c>
      <x:c r="I517" s="38" t="str">
        <x:v>https://www.youtube.com/results?search_query=%E6%9C%89%E4%BE%86%E6%BA%90%E7%9A%84%E7%A0%94%E7%A9%B6+Agent+%E4%B8%AD%E6%96%87+%E6%95%99%E5%AD%B8+%E5%8E%9F%E7%90%86+%E5%AE%89%E5%85%A8+%E8%A6%AA%E5%AD%90+AI+agents+automation+prompt+engineering</x:v>
      </x:c>
      <x:c r="J517" s="38" t="str">
        <x:v>課後延伸／親子討論</x:v>
      </x:c>
      <x:c r="K517" s="38" t="str">
        <x:v>6–15 分鐘</x:v>
      </x:c>
      <x:c r="L517" s="38" t="str">
        <x:v>補充應用、倫理、安全或真實案例；父子各說一個觀點</x:v>
      </x:c>
      <x:c r="M517" s="38" t="str">
        <x:v>□ 未挑選</x:v>
      </x:c>
      <x:c r="N517" s="38" t="str"/>
      <x:c r="O517" s="38" t="str"/>
    </x:row>
    <x:row r="518">
      <x:c r="A518" s="38" t="n">
        <x:v>173</x:v>
      </x:c>
      <x:c r="B518" s="38" t="str">
        <x:v>第 4 年</x:v>
      </x:c>
      <x:c r="C518" s="38" t="str">
        <x:v>M11 AI Agent 與自動化工程</x:v>
      </x:c>
      <x:c r="D518" s="38" t="n">
        <x:v>13</x:v>
      </x:c>
      <x:c r="E518" s="38" t="str">
        <x:v>Coding Agent 的 Repo 規則</x:v>
      </x:c>
      <x:c r="F518" s="38" t="n">
        <x:v>1</x:v>
      </x:c>
      <x:c r="G518" s="38" t="str">
        <x:v>概念入門／官方優先</x:v>
      </x:c>
      <x:c r="H518" s="38" t="str">
        <x:v>Coding Agent 的 Repo 規則 AI agents automation prompt engineering beginner tutorial OpenAI</x:v>
      </x:c>
      <x:c r="I518" s="38" t="str">
        <x:v>https://www.youtube.com/results?search_query=Coding+Agent+%E7%9A%84+Repo+%E8%A6%8F%E5%89%87+AI+agents+automation+prompt+engineering+beginner+tutorial+OpenAI</x:v>
      </x:c>
      <x:c r="J518" s="38" t="str">
        <x:v>課前暖身</x:v>
      </x:c>
      <x:c r="K518" s="38" t="str">
        <x:v>5–12 分鐘</x:v>
      </x:c>
      <x:c r="L518" s="38" t="str">
        <x:v>先建立直覺；看完能說出 3 個關鍵詞</x:v>
      </x:c>
      <x:c r="M518" s="38" t="str">
        <x:v>□ 未挑選</x:v>
      </x:c>
      <x:c r="N518" s="38" t="str"/>
      <x:c r="O518" s="38" t="str"/>
    </x:row>
    <x:row r="519">
      <x:c r="A519" s="38" t="n">
        <x:v>173</x:v>
      </x:c>
      <x:c r="B519" s="38" t="str">
        <x:v>第 4 年</x:v>
      </x:c>
      <x:c r="C519" s="38" t="str">
        <x:v>M11 AI Agent 與自動化工程</x:v>
      </x:c>
      <x:c r="D519" s="38" t="n">
        <x:v>13</x:v>
      </x:c>
      <x:c r="E519" s="38" t="str">
        <x:v>Coding Agent 的 Repo 規則</x:v>
      </x:c>
      <x:c r="F519" s="38" t="n">
        <x:v>2</x:v>
      </x:c>
      <x:c r="G519" s="38" t="str">
        <x:v>跟做實作／專案導向</x:v>
      </x:c>
      <x:c r="H519" s="38" t="str">
        <x:v>Coding Agent 的 Repo 規則 使用 README/AGENTS/測試/驗收標準限制代理行為 hands on project for kids AI agents</x:v>
      </x:c>
      <x:c r="I519" s="38" t="str">
        <x:v>https://www.youtube.com/results?search_query=Coding+Agent+%E7%9A%84+Repo+%E8%A6%8F%E5%89%87+%E4%BD%BF%E7%94%A8+README%2FAGENTS%2F%E6%B8%AC%E8%A9%A6%2F%E9%A9%97%E6%94%B6%E6%A8%99%E6%BA%96%E9%99%90%E5%88%B6%E4%BB%A3%E7%90%86%E8%A1%8C%E7%82%BA+hands+on+project+for+kids+AI+agents+automation+prompt+engineering</x:v>
      </x:c>
      <x:c r="J519" s="38" t="str">
        <x:v>課中實作參考</x:v>
      </x:c>
      <x:c r="K519" s="38" t="str">
        <x:v>8–20 分鐘</x:v>
      </x:c>
      <x:c r="L519" s="38" t="str">
        <x:v>優先找有畫面操作、步驟清楚、可暫停跟做的版本</x:v>
      </x:c>
      <x:c r="M519" s="38" t="str">
        <x:v>□ 未挑選</x:v>
      </x:c>
      <x:c r="N519" s="38" t="str"/>
      <x:c r="O519" s="38" t="str"/>
    </x:row>
    <x:row r="520">
      <x:c r="A520" s="38" t="n">
        <x:v>173</x:v>
      </x:c>
      <x:c r="B520" s="38" t="str">
        <x:v>第 4 年</x:v>
      </x:c>
      <x:c r="C520" s="38" t="str">
        <x:v>M11 AI Agent 與自動化工程</x:v>
      </x:c>
      <x:c r="D520" s="38" t="n">
        <x:v>13</x:v>
      </x:c>
      <x:c r="E520" s="38" t="str">
        <x:v>Coding Agent 的 Repo 規則</x:v>
      </x:c>
      <x:c r="F520" s="38" t="n">
        <x:v>3</x:v>
      </x:c>
      <x:c r="G520" s="38" t="str">
        <x:v>中文延伸／倫理安全</x:v>
      </x:c>
      <x:c r="H520" s="38" t="str">
        <x:v>Coding Agent 的 Repo 規則 中文 教學 原理 安全 親子 AI agents automation prompt</x:v>
      </x:c>
      <x:c r="I520" s="38" t="str">
        <x:v>https://www.youtube.com/results?search_query=Coding+Agent+%E7%9A%84+Repo+%E8%A6%8F%E5%89%87+%E4%B8%AD%E6%96%87+%E6%95%99%E5%AD%B8+%E5%8E%9F%E7%90%86+%E5%AE%89%E5%85%A8+%E8%A6%AA%E5%AD%90+AI+agents+automation+prompt+engineering</x:v>
      </x:c>
      <x:c r="J520" s="38" t="str">
        <x:v>課後延伸／親子討論</x:v>
      </x:c>
      <x:c r="K520" s="38" t="str">
        <x:v>6–15 分鐘</x:v>
      </x:c>
      <x:c r="L520" s="38" t="str">
        <x:v>補充應用、倫理、安全或真實案例；父子各說一個觀點</x:v>
      </x:c>
      <x:c r="M520" s="38" t="str">
        <x:v>□ 未挑選</x:v>
      </x:c>
      <x:c r="N520" s="38" t="str"/>
      <x:c r="O520" s="38" t="str"/>
    </x:row>
    <x:row r="521">
      <x:c r="A521" s="38" t="n">
        <x:v>174</x:v>
      </x:c>
      <x:c r="B521" s="38" t="str">
        <x:v>第 4 年</x:v>
      </x:c>
      <x:c r="C521" s="38" t="str">
        <x:v>M11 AI Agent 與自動化工程</x:v>
      </x:c>
      <x:c r="D521" s="38" t="n">
        <x:v>14</x:v>
      </x:c>
      <x:c r="E521" s="38" t="str">
        <x:v>個人學習 Agent Alpha</x:v>
      </x:c>
      <x:c r="F521" s="38" t="n">
        <x:v>1</x:v>
      </x:c>
      <x:c r="G521" s="38" t="str">
        <x:v>概念入門／官方優先</x:v>
      </x:c>
      <x:c r="H521" s="38" t="str">
        <x:v>個人學習 Agent Alpha AI agents automation prompt engineering beginner tutorial OpenAI</x:v>
      </x:c>
      <x:c r="I521" s="38" t="str">
        <x:v>https://www.youtube.com/results?search_query=%E5%80%8B%E4%BA%BA%E5%AD%B8%E7%BF%92+Agent+Alpha+AI+agents+automation+prompt+engineering+beginner+tutorial+OpenAI</x:v>
      </x:c>
      <x:c r="J521" s="38" t="str">
        <x:v>課前暖身</x:v>
      </x:c>
      <x:c r="K521" s="38" t="str">
        <x:v>5–12 分鐘</x:v>
      </x:c>
      <x:c r="L521" s="38" t="str">
        <x:v>先建立直覺；看完能說出 3 個關鍵詞</x:v>
      </x:c>
      <x:c r="M521" s="38" t="str">
        <x:v>□ 未挑選</x:v>
      </x:c>
      <x:c r="N521" s="38" t="str"/>
      <x:c r="O521" s="38" t="str"/>
    </x:row>
    <x:row r="522">
      <x:c r="A522" s="38" t="n">
        <x:v>174</x:v>
      </x:c>
      <x:c r="B522" s="38" t="str">
        <x:v>第 4 年</x:v>
      </x:c>
      <x:c r="C522" s="38" t="str">
        <x:v>M11 AI Agent 與自動化工程</x:v>
      </x:c>
      <x:c r="D522" s="38" t="n">
        <x:v>14</x:v>
      </x:c>
      <x:c r="E522" s="38" t="str">
        <x:v>個人學習 Agent Alpha</x:v>
      </x:c>
      <x:c r="F522" s="38" t="n">
        <x:v>2</x:v>
      </x:c>
      <x:c r="G522" s="38" t="str">
        <x:v>跟做實作／專案導向</x:v>
      </x:c>
      <x:c r="H522" s="38" t="str">
        <x:v>個人學習 Agent Alpha 整合資料來源、工具、Prompt、記憶與輸出 hands on project for kids AI agents automation prompt engineering</x:v>
      </x:c>
      <x:c r="I522" s="38" t="str">
        <x:v>https://www.youtube.com/results?search_query=%E5%80%8B%E4%BA%BA%E5%AD%B8%E7%BF%92+Agent+Alpha+%E6%95%B4%E5%90%88%E8%B3%87%E6%96%99%E4%BE%86%E6%BA%90%E3%80%81%E5%B7%A5%E5%85%B7%E3%80%81Prompt%E3%80%81%E8%A8%98%E6%86%B6%E8%88%87%E8%BC%B8%E5%87%BA+hands+on+project+for+kids+AI+agents+automation+prompt+engineering</x:v>
      </x:c>
      <x:c r="J522" s="38" t="str">
        <x:v>課中實作參考</x:v>
      </x:c>
      <x:c r="K522" s="38" t="str">
        <x:v>8–20 分鐘</x:v>
      </x:c>
      <x:c r="L522" s="38" t="str">
        <x:v>優先找有畫面操作、步驟清楚、可暫停跟做的版本</x:v>
      </x:c>
      <x:c r="M522" s="38" t="str">
        <x:v>□ 未挑選</x:v>
      </x:c>
      <x:c r="N522" s="38" t="str"/>
      <x:c r="O522" s="38" t="str"/>
    </x:row>
    <x:row r="523">
      <x:c r="A523" s="38" t="n">
        <x:v>174</x:v>
      </x:c>
      <x:c r="B523" s="38" t="str">
        <x:v>第 4 年</x:v>
      </x:c>
      <x:c r="C523" s="38" t="str">
        <x:v>M11 AI Agent 與自動化工程</x:v>
      </x:c>
      <x:c r="D523" s="38" t="n">
        <x:v>14</x:v>
      </x:c>
      <x:c r="E523" s="38" t="str">
        <x:v>個人學習 Agent Alpha</x:v>
      </x:c>
      <x:c r="F523" s="38" t="n">
        <x:v>3</x:v>
      </x:c>
      <x:c r="G523" s="38" t="str">
        <x:v>中文延伸／倫理安全</x:v>
      </x:c>
      <x:c r="H523" s="38" t="str">
        <x:v>個人學習 Agent Alpha 中文 教學 原理 安全 親子 AI agents automation prompt engineering</x:v>
      </x:c>
      <x:c r="I523" s="38" t="str">
        <x:v>https://www.youtube.com/results?search_query=%E5%80%8B%E4%BA%BA%E5%AD%B8%E7%BF%92+Agent+Alpha+%E4%B8%AD%E6%96%87+%E6%95%99%E5%AD%B8+%E5%8E%9F%E7%90%86+%E5%AE%89%E5%85%A8+%E8%A6%AA%E5%AD%90+AI+agents+automation+prompt+engineering</x:v>
      </x:c>
      <x:c r="J523" s="38" t="str">
        <x:v>課後延伸／親子討論</x:v>
      </x:c>
      <x:c r="K523" s="38" t="str">
        <x:v>6–15 分鐘</x:v>
      </x:c>
      <x:c r="L523" s="38" t="str">
        <x:v>補充應用、倫理、安全或真實案例；父子各說一個觀點</x:v>
      </x:c>
      <x:c r="M523" s="38" t="str">
        <x:v>□ 未挑選</x:v>
      </x:c>
      <x:c r="N523" s="38" t="str"/>
      <x:c r="O523" s="38" t="str"/>
    </x:row>
    <x:row r="524">
      <x:c r="A524" s="38" t="n">
        <x:v>175</x:v>
      </x:c>
      <x:c r="B524" s="38" t="str">
        <x:v>第 4 年</x:v>
      </x:c>
      <x:c r="C524" s="38" t="str">
        <x:v>M11 AI Agent 與自動化工程</x:v>
      </x:c>
      <x:c r="D524" s="38" t="n">
        <x:v>15</x:v>
      </x:c>
      <x:c r="E524" s="38" t="str">
        <x:v>Red Team：讓 Agent 失敗給你看</x:v>
      </x:c>
      <x:c r="F524" s="38" t="n">
        <x:v>1</x:v>
      </x:c>
      <x:c r="G524" s="38" t="str">
        <x:v>概念入門／官方優先</x:v>
      </x:c>
      <x:c r="H524" s="38" t="str">
        <x:v>Red Team 讓 Agent 失敗給你看 AI agents automation prompt engineering beginner tutorial OpenAI</x:v>
      </x:c>
      <x:c r="I524" s="38" t="str">
        <x:v>https://www.youtube.com/results?search_query=Red+Team+%E8%AE%93+Agent+%E5%A4%B1%E6%95%97%E7%B5%A6%E4%BD%A0%E7%9C%8B+AI+agents+automation+prompt+engineering+beginner+tutorial+OpenAI</x:v>
      </x:c>
      <x:c r="J524" s="38" t="str">
        <x:v>課前暖身</x:v>
      </x:c>
      <x:c r="K524" s="38" t="str">
        <x:v>5–12 分鐘</x:v>
      </x:c>
      <x:c r="L524" s="38" t="str">
        <x:v>先建立直覺；看完能說出 3 個關鍵詞</x:v>
      </x:c>
      <x:c r="M524" s="38" t="str">
        <x:v>□ 未挑選</x:v>
      </x:c>
      <x:c r="N524" s="38" t="str"/>
      <x:c r="O524" s="38" t="str"/>
    </x:row>
    <x:row r="525">
      <x:c r="A525" s="38" t="n">
        <x:v>175</x:v>
      </x:c>
      <x:c r="B525" s="38" t="str">
        <x:v>第 4 年</x:v>
      </x:c>
      <x:c r="C525" s="38" t="str">
        <x:v>M11 AI Agent 與自動化工程</x:v>
      </x:c>
      <x:c r="D525" s="38" t="n">
        <x:v>15</x:v>
      </x:c>
      <x:c r="E525" s="38" t="str">
        <x:v>Red Team：讓 Agent 失敗給你看</x:v>
      </x:c>
      <x:c r="F525" s="38" t="n">
        <x:v>2</x:v>
      </x:c>
      <x:c r="G525" s="38" t="str">
        <x:v>跟做實作／專案導向</x:v>
      </x:c>
      <x:c r="H525" s="38" t="str">
        <x:v>Red Team 讓 Agent 失敗給你看 測試提示注入、錯誤來源、重複執行、權限與幻覺 hands on project for kids AI agents automation</x:v>
      </x:c>
      <x:c r="I525" s="38" t="str">
        <x:v>https://www.youtube.com/results?search_query=Red+Team+%E8%AE%93+Agent+%E5%A4%B1%E6%95%97%E7%B5%A6%E4%BD%A0%E7%9C%8B+%E6%B8%AC%E8%A9%A6%E6%8F%90%E7%A4%BA%E6%B3%A8%E5%85%A5%E3%80%81%E9%8C%AF%E8%AA%A4%E4%BE%86%E6%BA%90%E3%80%81%E9%87%8D%E8%A4%87%E5%9F%B7%E8%A1%8C%E3%80%81%E6%AC%8A%E9%99%90%E8%88%87%E5%B9%BB%E8%A6%BA+hands+on+project+for+kids+AI+agents+automation+prompt+engineering</x:v>
      </x:c>
      <x:c r="J525" s="38" t="str">
        <x:v>課中實作參考</x:v>
      </x:c>
      <x:c r="K525" s="38" t="str">
        <x:v>8–20 分鐘</x:v>
      </x:c>
      <x:c r="L525" s="38" t="str">
        <x:v>優先找有畫面操作、步驟清楚、可暫停跟做的版本</x:v>
      </x:c>
      <x:c r="M525" s="38" t="str">
        <x:v>□ 未挑選</x:v>
      </x:c>
      <x:c r="N525" s="38" t="str"/>
      <x:c r="O525" s="38" t="str"/>
    </x:row>
    <x:row r="526">
      <x:c r="A526" s="38" t="n">
        <x:v>175</x:v>
      </x:c>
      <x:c r="B526" s="38" t="str">
        <x:v>第 4 年</x:v>
      </x:c>
      <x:c r="C526" s="38" t="str">
        <x:v>M11 AI Agent 與自動化工程</x:v>
      </x:c>
      <x:c r="D526" s="38" t="n">
        <x:v>15</x:v>
      </x:c>
      <x:c r="E526" s="38" t="str">
        <x:v>Red Team：讓 Agent 失敗給你看</x:v>
      </x:c>
      <x:c r="F526" s="38" t="n">
        <x:v>3</x:v>
      </x:c>
      <x:c r="G526" s="38" t="str">
        <x:v>中文延伸／倫理安全</x:v>
      </x:c>
      <x:c r="H526" s="38" t="str">
        <x:v>Red Team 讓 Agent 失敗給你看 中文 教學 原理 安全 親子 AI agents automation prompt</x:v>
      </x:c>
      <x:c r="I526" s="38" t="str">
        <x:v>https://www.youtube.com/results?search_query=Red+Team+%E8%AE%93+Agent+%E5%A4%B1%E6%95%97%E7%B5%A6%E4%BD%A0%E7%9C%8B+%E4%B8%AD%E6%96%87+%E6%95%99%E5%AD%B8+%E5%8E%9F%E7%90%86+%E5%AE%89%E5%85%A8+%E8%A6%AA%E5%AD%90+AI+agents+automation+prompt+engineering</x:v>
      </x:c>
      <x:c r="J526" s="38" t="str">
        <x:v>課後延伸／親子討論</x:v>
      </x:c>
      <x:c r="K526" s="38" t="str">
        <x:v>6–15 分鐘</x:v>
      </x:c>
      <x:c r="L526" s="38" t="str">
        <x:v>補充應用、倫理、安全或真實案例；父子各說一個觀點</x:v>
      </x:c>
      <x:c r="M526" s="38" t="str">
        <x:v>□ 未挑選</x:v>
      </x:c>
      <x:c r="N526" s="38" t="str"/>
      <x:c r="O526" s="38" t="str"/>
    </x:row>
    <x:row r="527">
      <x:c r="A527" s="38" t="n">
        <x:v>176</x:v>
      </x:c>
      <x:c r="B527" s="38" t="str">
        <x:v>第 4 年</x:v>
      </x:c>
      <x:c r="C527" s="38" t="str">
        <x:v>M11 AI Agent 與自動化工程</x:v>
      </x:c>
      <x:c r="D527" s="38" t="n">
        <x:v>16</x:v>
      </x:c>
      <x:c r="E527" s="38" t="str">
        <x:v>Agent Demo Day 與運維手冊</x:v>
      </x:c>
      <x:c r="F527" s="38" t="n">
        <x:v>1</x:v>
      </x:c>
      <x:c r="G527" s="38" t="str">
        <x:v>概念入門／官方優先</x:v>
      </x:c>
      <x:c r="H527" s="38" t="str">
        <x:v>Agent Demo Day 與運維手冊 AI agents automation prompt engineering beginner tutorial OpenAI</x:v>
      </x:c>
      <x:c r="I527" s="38" t="str">
        <x:v>https://www.youtube.com/results?search_query=Agent+Demo+Day+%E8%88%87%E9%81%8B%E7%B6%AD%E6%89%8B%E5%86%8A+AI+agents+automation+prompt+engineering+beginner+tutorial+OpenAI</x:v>
      </x:c>
      <x:c r="J527" s="38" t="str">
        <x:v>課前暖身</x:v>
      </x:c>
      <x:c r="K527" s="38" t="str">
        <x:v>5–12 分鐘</x:v>
      </x:c>
      <x:c r="L527" s="38" t="str">
        <x:v>先建立直覺；看完能說出 3 個關鍵詞</x:v>
      </x:c>
      <x:c r="M527" s="38" t="str">
        <x:v>□ 未挑選</x:v>
      </x:c>
      <x:c r="N527" s="38" t="str"/>
      <x:c r="O527" s="38" t="str"/>
    </x:row>
    <x:row r="528">
      <x:c r="A528" s="38" t="n">
        <x:v>176</x:v>
      </x:c>
      <x:c r="B528" s="38" t="str">
        <x:v>第 4 年</x:v>
      </x:c>
      <x:c r="C528" s="38" t="str">
        <x:v>M11 AI Agent 與自動化工程</x:v>
      </x:c>
      <x:c r="D528" s="38" t="n">
        <x:v>16</x:v>
      </x:c>
      <x:c r="E528" s="38" t="str">
        <x:v>Agent Demo Day 與運維手冊</x:v>
      </x:c>
      <x:c r="F528" s="38" t="n">
        <x:v>2</x:v>
      </x:c>
      <x:c r="G528" s="38" t="str">
        <x:v>跟做實作／專案導向</x:v>
      </x:c>
      <x:c r="H528" s="38" t="str">
        <x:v>Agent Demo Day 與運維手冊 說明架構、能力、限制、成本、監控與停用方式 hands on project for kids AI agents automation prompt</x:v>
      </x:c>
      <x:c r="I528" s="38" t="str">
        <x:v>https://www.youtube.com/results?search_query=Agent+Demo+Day+%E8%88%87%E9%81%8B%E7%B6%AD%E6%89%8B%E5%86%8A+%E8%AA%AA%E6%98%8E%E6%9E%B6%E6%A7%8B%E3%80%81%E8%83%BD%E5%8A%9B%E3%80%81%E9%99%90%E5%88%B6%E3%80%81%E6%88%90%E6%9C%AC%E3%80%81%E7%9B%A3%E6%8E%A7%E8%88%87%E5%81%9C%E7%94%A8%E6%96%B9%E5%BC%8F+hands+on+project+for+kids+AI+agents+automation+prompt+engineering</x:v>
      </x:c>
      <x:c r="J528" s="38" t="str">
        <x:v>課中實作參考</x:v>
      </x:c>
      <x:c r="K528" s="38" t="str">
        <x:v>8–20 分鐘</x:v>
      </x:c>
      <x:c r="L528" s="38" t="str">
        <x:v>優先找有畫面操作、步驟清楚、可暫停跟做的版本</x:v>
      </x:c>
      <x:c r="M528" s="38" t="str">
        <x:v>□ 未挑選</x:v>
      </x:c>
      <x:c r="N528" s="38" t="str"/>
      <x:c r="O528" s="38" t="str"/>
    </x:row>
    <x:row r="529">
      <x:c r="A529" s="38" t="n">
        <x:v>176</x:v>
      </x:c>
      <x:c r="B529" s="38" t="str">
        <x:v>第 4 年</x:v>
      </x:c>
      <x:c r="C529" s="38" t="str">
        <x:v>M11 AI Agent 與自動化工程</x:v>
      </x:c>
      <x:c r="D529" s="38" t="n">
        <x:v>16</x:v>
      </x:c>
      <x:c r="E529" s="38" t="str">
        <x:v>Agent Demo Day 與運維手冊</x:v>
      </x:c>
      <x:c r="F529" s="38" t="n">
        <x:v>3</x:v>
      </x:c>
      <x:c r="G529" s="38" t="str">
        <x:v>中文延伸／倫理安全</x:v>
      </x:c>
      <x:c r="H529" s="38" t="str">
        <x:v>Agent Demo Day 與運維手冊 中文 教學 原理 安全 親子 AI agents automation prompt engineering</x:v>
      </x:c>
      <x:c r="I529" s="38" t="str">
        <x:v>https://www.youtube.com/results?search_query=Agent+Demo+Day+%E8%88%87%E9%81%8B%E7%B6%AD%E6%89%8B%E5%86%8A+%E4%B8%AD%E6%96%87+%E6%95%99%E5%AD%B8+%E5%8E%9F%E7%90%86+%E5%AE%89%E5%85%A8+%E8%A6%AA%E5%AD%90+AI+agents+automation+prompt+engineering</x:v>
      </x:c>
      <x:c r="J529" s="38" t="str">
        <x:v>課後延伸／親子討論</x:v>
      </x:c>
      <x:c r="K529" s="38" t="str">
        <x:v>6–15 分鐘</x:v>
      </x:c>
      <x:c r="L529" s="38" t="str">
        <x:v>補充應用、倫理、安全或真實案例；父子各說一個觀點</x:v>
      </x:c>
      <x:c r="M529" s="38" t="str">
        <x:v>□ 未挑選</x:v>
      </x:c>
      <x:c r="N529" s="38" t="str"/>
      <x:c r="O529" s="38" t="str"/>
    </x:row>
    <x:row r="530">
      <x:c r="A530" s="38" t="n">
        <x:v>177</x:v>
      </x:c>
      <x:c r="B530" s="38" t="str">
        <x:v>第 4 年</x:v>
      </x:c>
      <x:c r="C530" s="38" t="str">
        <x:v>M12 獨立創作者：產品、研究、生活與傳承</x:v>
      </x:c>
      <x:c r="D530" s="38" t="n">
        <x:v>1</x:v>
      </x:c>
      <x:c r="E530" s="38" t="str">
        <x:v>問題獵人：先找痛點，不急著想 App</x:v>
      </x:c>
      <x:c r="F530" s="38" t="n">
        <x:v>1</x:v>
      </x:c>
      <x:c r="G530" s="38" t="str">
        <x:v>概念入門／官方優先</x:v>
      </x:c>
      <x:c r="H530" s="38" t="str">
        <x:v>問題獵人 先找痛點，不急著想 App product design research presentation life skills beginner tutorial TED-Ed</x:v>
      </x:c>
      <x:c r="I530" s="38" t="str">
        <x:v>https://www.youtube.com/results?search_query=%E5%95%8F%E9%A1%8C%E7%8D%B5%E4%BA%BA+%E5%85%88%E6%89%BE%E7%97%9B%E9%BB%9E%EF%BC%8C%E4%B8%8D%E6%80%A5%E8%91%97%E6%83%B3+App+product+design+research+presentation+life+skills+beginner+tutorial+TED-Ed</x:v>
      </x:c>
      <x:c r="J530" s="38" t="str">
        <x:v>課前暖身</x:v>
      </x:c>
      <x:c r="K530" s="38" t="str">
        <x:v>5–12 分鐘</x:v>
      </x:c>
      <x:c r="L530" s="38" t="str">
        <x:v>先建立直覺；看完能說出 3 個關鍵詞</x:v>
      </x:c>
      <x:c r="M530" s="38" t="str">
        <x:v>□ 未挑選</x:v>
      </x:c>
      <x:c r="N530" s="38" t="str"/>
      <x:c r="O530" s="38" t="str"/>
    </x:row>
    <x:row r="531">
      <x:c r="A531" s="38" t="n">
        <x:v>177</x:v>
      </x:c>
      <x:c r="B531" s="38" t="str">
        <x:v>第 4 年</x:v>
      </x:c>
      <x:c r="C531" s="38" t="str">
        <x:v>M12 獨立創作者：產品、研究、生活與傳承</x:v>
      </x:c>
      <x:c r="D531" s="38" t="n">
        <x:v>1</x:v>
      </x:c>
      <x:c r="E531" s="38" t="str">
        <x:v>問題獵人：先找痛點，不急著想 App</x:v>
      </x:c>
      <x:c r="F531" s="38" t="n">
        <x:v>2</x:v>
      </x:c>
      <x:c r="G531" s="38" t="str">
        <x:v>跟做實作／專案導向</x:v>
      </x:c>
      <x:c r="H531" s="38" t="str">
        <x:v>問題獵人 先找痛點，不急著想 App 觀察頻率、痛苦程度、現有解法與真正使用者 hands on project for kids product design research presentation life</x:v>
      </x:c>
      <x:c r="I531" s="38" t="str">
        <x:v>https://www.youtube.com/results?search_query=%E5%95%8F%E9%A1%8C%E7%8D%B5%E4%BA%BA+%E5%85%88%E6%89%BE%E7%97%9B%E9%BB%9E%EF%BC%8C%E4%B8%8D%E6%80%A5%E8%91%97%E6%83%B3+App+%E8%A7%80%E5%AF%9F%E9%A0%BB%E7%8E%87%E3%80%81%E7%97%9B%E8%8B%A6%E7%A8%8B%E5%BA%A6%E3%80%81%E7%8F%BE%E6%9C%89%E8%A7%A3%E6%B3%95%E8%88%87%E7%9C%9F%E6%AD%A3%E4%BD%BF%E7%94%A8%E8%80%85+hands+on+project+for+kids+product+design+research+presentation+life+skills</x:v>
      </x:c>
      <x:c r="J531" s="38" t="str">
        <x:v>課中實作參考</x:v>
      </x:c>
      <x:c r="K531" s="38" t="str">
        <x:v>8–20 分鐘</x:v>
      </x:c>
      <x:c r="L531" s="38" t="str">
        <x:v>優先找有畫面操作、步驟清楚、可暫停跟做的版本</x:v>
      </x:c>
      <x:c r="M531" s="38" t="str">
        <x:v>□ 未挑選</x:v>
      </x:c>
      <x:c r="N531" s="38" t="str"/>
      <x:c r="O531" s="38" t="str"/>
    </x:row>
    <x:row r="532">
      <x:c r="A532" s="38" t="n">
        <x:v>177</x:v>
      </x:c>
      <x:c r="B532" s="38" t="str">
        <x:v>第 4 年</x:v>
      </x:c>
      <x:c r="C532" s="38" t="str">
        <x:v>M12 獨立創作者：產品、研究、生活與傳承</x:v>
      </x:c>
      <x:c r="D532" s="38" t="n">
        <x:v>1</x:v>
      </x:c>
      <x:c r="E532" s="38" t="str">
        <x:v>問題獵人：先找痛點，不急著想 App</x:v>
      </x:c>
      <x:c r="F532" s="38" t="n">
        <x:v>3</x:v>
      </x:c>
      <x:c r="G532" s="38" t="str">
        <x:v>中文延伸／倫理安全</x:v>
      </x:c>
      <x:c r="H532" s="38" t="str">
        <x:v>問題獵人 先找痛點，不急著想 App 中文 教學 原理 安全 親子 product design research presentation life skills</x:v>
      </x:c>
      <x:c r="I532" s="38" t="str">
        <x:v>https://www.youtube.com/results?search_query=%E5%95%8F%E9%A1%8C%E7%8D%B5%E4%BA%BA+%E5%85%88%E6%89%BE%E7%97%9B%E9%BB%9E%EF%BC%8C%E4%B8%8D%E6%80%A5%E8%91%97%E6%83%B3+App+%E4%B8%AD%E6%96%87+%E6%95%99%E5%AD%B8+%E5%8E%9F%E7%90%86+%E5%AE%89%E5%85%A8+%E8%A6%AA%E5%AD%90+product+design+research+presentation+life+skills</x:v>
      </x:c>
      <x:c r="J532" s="38" t="str">
        <x:v>課後延伸／親子討論</x:v>
      </x:c>
      <x:c r="K532" s="38" t="str">
        <x:v>6–15 分鐘</x:v>
      </x:c>
      <x:c r="L532" s="38" t="str">
        <x:v>補充應用、倫理、安全或真實案例；父子各說一個觀點</x:v>
      </x:c>
      <x:c r="M532" s="38" t="str">
        <x:v>□ 未挑選</x:v>
      </x:c>
      <x:c r="N532" s="38" t="str"/>
      <x:c r="O532" s="38" t="str"/>
    </x:row>
    <x:row r="533">
      <x:c r="A533" s="38" t="n">
        <x:v>178</x:v>
      </x:c>
      <x:c r="B533" s="38" t="str">
        <x:v>第 4 年</x:v>
      </x:c>
      <x:c r="C533" s="38" t="str">
        <x:v>M12 獨立創作者：產品、研究、生活與傳承</x:v>
      </x:c>
      <x:c r="D533" s="38" t="n">
        <x:v>2</x:v>
      </x:c>
      <x:c r="E533" s="38" t="str">
        <x:v>使用者訪談：問經驗，不問幻想</x:v>
      </x:c>
      <x:c r="F533" s="38" t="n">
        <x:v>1</x:v>
      </x:c>
      <x:c r="G533" s="38" t="str">
        <x:v>概念入門／官方優先</x:v>
      </x:c>
      <x:c r="H533" s="38" t="str">
        <x:v>使用者訪談 問經驗，不問幻想 product design research presentation life skills beginner tutorial TED-Ed</x:v>
      </x:c>
      <x:c r="I533" s="38" t="str">
        <x:v>https://www.youtube.com/results?search_query=%E4%BD%BF%E7%94%A8%E8%80%85%E8%A8%AA%E8%AB%87+%E5%95%8F%E7%B6%93%E9%A9%97%EF%BC%8C%E4%B8%8D%E5%95%8F%E5%B9%BB%E6%83%B3+product+design+research+presentation+life+skills+beginner+tutorial+TED-Ed</x:v>
      </x:c>
      <x:c r="J533" s="38" t="str">
        <x:v>課前暖身</x:v>
      </x:c>
      <x:c r="K533" s="38" t="str">
        <x:v>5–12 分鐘</x:v>
      </x:c>
      <x:c r="L533" s="38" t="str">
        <x:v>先建立直覺；看完能說出 3 個關鍵詞</x:v>
      </x:c>
      <x:c r="M533" s="38" t="str">
        <x:v>□ 未挑選</x:v>
      </x:c>
      <x:c r="N533" s="38" t="str"/>
      <x:c r="O533" s="38" t="str"/>
    </x:row>
    <x:row r="534">
      <x:c r="A534" s="38" t="n">
        <x:v>178</x:v>
      </x:c>
      <x:c r="B534" s="38" t="str">
        <x:v>第 4 年</x:v>
      </x:c>
      <x:c r="C534" s="38" t="str">
        <x:v>M12 獨立創作者：產品、研究、生活與傳承</x:v>
      </x:c>
      <x:c r="D534" s="38" t="n">
        <x:v>2</x:v>
      </x:c>
      <x:c r="E534" s="38" t="str">
        <x:v>使用者訪談：問經驗，不問幻想</x:v>
      </x:c>
      <x:c r="F534" s="38" t="n">
        <x:v>2</x:v>
      </x:c>
      <x:c r="G534" s="38" t="str">
        <x:v>跟做實作／專案導向</x:v>
      </x:c>
      <x:c r="H534" s="38" t="str">
        <x:v>使用者訪談 問經驗，不問幻想 練習開放問題、追問、記錄與不引導答案 hands on project for kids product design research presentation life skills</x:v>
      </x:c>
      <x:c r="I534" s="38" t="str">
        <x:v>https://www.youtube.com/results?search_query=%E4%BD%BF%E7%94%A8%E8%80%85%E8%A8%AA%E8%AB%87+%E5%95%8F%E7%B6%93%E9%A9%97%EF%BC%8C%E4%B8%8D%E5%95%8F%E5%B9%BB%E6%83%B3+%E7%B7%B4%E7%BF%92%E9%96%8B%E6%94%BE%E5%95%8F%E9%A1%8C%E3%80%81%E8%BF%BD%E5%95%8F%E3%80%81%E8%A8%98%E9%8C%84%E8%88%87%E4%B8%8D%E5%BC%95%E5%B0%8E%E7%AD%94%E6%A1%88+hands+on+project+for+kids+product+design+research+presentation+life+skills</x:v>
      </x:c>
      <x:c r="J534" s="38" t="str">
        <x:v>課中實作參考</x:v>
      </x:c>
      <x:c r="K534" s="38" t="str">
        <x:v>8–20 分鐘</x:v>
      </x:c>
      <x:c r="L534" s="38" t="str">
        <x:v>優先找有畫面操作、步驟清楚、可暫停跟做的版本</x:v>
      </x:c>
      <x:c r="M534" s="38" t="str">
        <x:v>□ 未挑選</x:v>
      </x:c>
      <x:c r="N534" s="38" t="str"/>
      <x:c r="O534" s="38" t="str"/>
    </x:row>
    <x:row r="535">
      <x:c r="A535" s="38" t="n">
        <x:v>178</x:v>
      </x:c>
      <x:c r="B535" s="38" t="str">
        <x:v>第 4 年</x:v>
      </x:c>
      <x:c r="C535" s="38" t="str">
        <x:v>M12 獨立創作者：產品、研究、生活與傳承</x:v>
      </x:c>
      <x:c r="D535" s="38" t="n">
        <x:v>2</x:v>
      </x:c>
      <x:c r="E535" s="38" t="str">
        <x:v>使用者訪談：問經驗，不問幻想</x:v>
      </x:c>
      <x:c r="F535" s="38" t="n">
        <x:v>3</x:v>
      </x:c>
      <x:c r="G535" s="38" t="str">
        <x:v>中文延伸／倫理安全</x:v>
      </x:c>
      <x:c r="H535" s="38" t="str">
        <x:v>使用者訪談 問經驗，不問幻想 中文 教學 原理 安全 親子 product design research presentation life skills</x:v>
      </x:c>
      <x:c r="I535" s="38" t="str">
        <x:v>https://www.youtube.com/results?search_query=%E4%BD%BF%E7%94%A8%E8%80%85%E8%A8%AA%E8%AB%87+%E5%95%8F%E7%B6%93%E9%A9%97%EF%BC%8C%E4%B8%8D%E5%95%8F%E5%B9%BB%E6%83%B3+%E4%B8%AD%E6%96%87+%E6%95%99%E5%AD%B8+%E5%8E%9F%E7%90%86+%E5%AE%89%E5%85%A8+%E8%A6%AA%E5%AD%90+product+design+research+presentation+life+skills</x:v>
      </x:c>
      <x:c r="J535" s="38" t="str">
        <x:v>課後延伸／親子討論</x:v>
      </x:c>
      <x:c r="K535" s="38" t="str">
        <x:v>6–15 分鐘</x:v>
      </x:c>
      <x:c r="L535" s="38" t="str">
        <x:v>補充應用、倫理、安全或真實案例；父子各說一個觀點</x:v>
      </x:c>
      <x:c r="M535" s="38" t="str">
        <x:v>□ 未挑選</x:v>
      </x:c>
      <x:c r="N535" s="38" t="str"/>
      <x:c r="O535" s="38" t="str"/>
    </x:row>
    <x:row r="536">
      <x:c r="A536" s="38" t="n">
        <x:v>179</x:v>
      </x:c>
      <x:c r="B536" s="38" t="str">
        <x:v>第 4 年</x:v>
      </x:c>
      <x:c r="C536" s="38" t="str">
        <x:v>M12 獨立創作者：產品、研究、生活與傳承</x:v>
      </x:c>
      <x:c r="D536" s="38" t="n">
        <x:v>3</x:v>
      </x:c>
      <x:c r="E536" s="38" t="str">
        <x:v>產品需求：要做什麼，也要說不做什麼</x:v>
      </x:c>
      <x:c r="F536" s="38" t="n">
        <x:v>1</x:v>
      </x:c>
      <x:c r="G536" s="38" t="str">
        <x:v>概念入門／官方優先</x:v>
      </x:c>
      <x:c r="H536" s="38" t="str">
        <x:v>產品需求 要做什麼，也要說不做什麼 product design research presentation life skills beginner tutorial TED-Ed</x:v>
      </x:c>
      <x:c r="I536" s="38" t="str">
        <x:v>https://www.youtube.com/results?search_query=%E7%94%A2%E5%93%81%E9%9C%80%E6%B1%82+%E8%A6%81%E5%81%9A%E4%BB%80%E9%BA%BC%EF%BC%8C%E4%B9%9F%E8%A6%81%E8%AA%AA%E4%B8%8D%E5%81%9A%E4%BB%80%E9%BA%BC+product+design+research+presentation+life+skills+beginner+tutorial+TED-Ed</x:v>
      </x:c>
      <x:c r="J536" s="38" t="str">
        <x:v>課前暖身</x:v>
      </x:c>
      <x:c r="K536" s="38" t="str">
        <x:v>5–12 分鐘</x:v>
      </x:c>
      <x:c r="L536" s="38" t="str">
        <x:v>先建立直覺；看完能說出 3 個關鍵詞</x:v>
      </x:c>
      <x:c r="M536" s="38" t="str">
        <x:v>□ 未挑選</x:v>
      </x:c>
      <x:c r="N536" s="38" t="str"/>
      <x:c r="O536" s="38" t="str"/>
    </x:row>
    <x:row r="537">
      <x:c r="A537" s="38" t="n">
        <x:v>179</x:v>
      </x:c>
      <x:c r="B537" s="38" t="str">
        <x:v>第 4 年</x:v>
      </x:c>
      <x:c r="C537" s="38" t="str">
        <x:v>M12 獨立創作者：產品、研究、生活與傳承</x:v>
      </x:c>
      <x:c r="D537" s="38" t="n">
        <x:v>3</x:v>
      </x:c>
      <x:c r="E537" s="38" t="str">
        <x:v>產品需求：要做什麼，也要說不做什麼</x:v>
      </x:c>
      <x:c r="F537" s="38" t="n">
        <x:v>2</x:v>
      </x:c>
      <x:c r="G537" s="38" t="str">
        <x:v>跟做實作／專案導向</x:v>
      </x:c>
      <x:c r="H537" s="38" t="str">
        <x:v>產品需求 要做什麼，也要說不做什麼 撰寫目標、使用情境、功能、限制與非目標 hands on project for kids product design research presentation life skills</x:v>
      </x:c>
      <x:c r="I537" s="38" t="str">
        <x:v>https://www.youtube.com/results?search_query=%E7%94%A2%E5%93%81%E9%9C%80%E6%B1%82+%E8%A6%81%E5%81%9A%E4%BB%80%E9%BA%BC%EF%BC%8C%E4%B9%9F%E8%A6%81%E8%AA%AA%E4%B8%8D%E5%81%9A%E4%BB%80%E9%BA%BC+%E6%92%B0%E5%AF%AB%E7%9B%AE%E6%A8%99%E3%80%81%E4%BD%BF%E7%94%A8%E6%83%85%E5%A2%83%E3%80%81%E5%8A%9F%E8%83%BD%E3%80%81%E9%99%90%E5%88%B6%E8%88%87%E9%9D%9E%E7%9B%AE%E6%A8%99+hands+on+project+for+kids+product+design+research+presentation+life+skills</x:v>
      </x:c>
      <x:c r="J537" s="38" t="str">
        <x:v>課中實作參考</x:v>
      </x:c>
      <x:c r="K537" s="38" t="str">
        <x:v>8–20 分鐘</x:v>
      </x:c>
      <x:c r="L537" s="38" t="str">
        <x:v>優先找有畫面操作、步驟清楚、可暫停跟做的版本</x:v>
      </x:c>
      <x:c r="M537" s="38" t="str">
        <x:v>□ 未挑選</x:v>
      </x:c>
      <x:c r="N537" s="38" t="str"/>
      <x:c r="O537" s="38" t="str"/>
    </x:row>
    <x:row r="538">
      <x:c r="A538" s="38" t="n">
        <x:v>179</x:v>
      </x:c>
      <x:c r="B538" s="38" t="str">
        <x:v>第 4 年</x:v>
      </x:c>
      <x:c r="C538" s="38" t="str">
        <x:v>M12 獨立創作者：產品、研究、生活與傳承</x:v>
      </x:c>
      <x:c r="D538" s="38" t="n">
        <x:v>3</x:v>
      </x:c>
      <x:c r="E538" s="38" t="str">
        <x:v>產品需求：要做什麼，也要說不做什麼</x:v>
      </x:c>
      <x:c r="F538" s="38" t="n">
        <x:v>3</x:v>
      </x:c>
      <x:c r="G538" s="38" t="str">
        <x:v>中文延伸／倫理安全</x:v>
      </x:c>
      <x:c r="H538" s="38" t="str">
        <x:v>產品需求 要做什麼，也要說不做什麼 中文 教學 原理 安全 親子 product design research presentation life skills</x:v>
      </x:c>
      <x:c r="I538" s="38" t="str">
        <x:v>https://www.youtube.com/results?search_query=%E7%94%A2%E5%93%81%E9%9C%80%E6%B1%82+%E8%A6%81%E5%81%9A%E4%BB%80%E9%BA%BC%EF%BC%8C%E4%B9%9F%E8%A6%81%E8%AA%AA%E4%B8%8D%E5%81%9A%E4%BB%80%E9%BA%BC+%E4%B8%AD%E6%96%87+%E6%95%99%E5%AD%B8+%E5%8E%9F%E7%90%86+%E5%AE%89%E5%85%A8+%E8%A6%AA%E5%AD%90+product+design+research+presentation+life+skills</x:v>
      </x:c>
      <x:c r="J538" s="38" t="str">
        <x:v>課後延伸／親子討論</x:v>
      </x:c>
      <x:c r="K538" s="38" t="str">
        <x:v>6–15 分鐘</x:v>
      </x:c>
      <x:c r="L538" s="38" t="str">
        <x:v>補充應用、倫理、安全或真實案例；父子各說一個觀點</x:v>
      </x:c>
      <x:c r="M538" s="38" t="str">
        <x:v>□ 未挑選</x:v>
      </x:c>
      <x:c r="N538" s="38" t="str"/>
      <x:c r="O538" s="38" t="str"/>
    </x:row>
    <x:row r="539">
      <x:c r="A539" s="38" t="n">
        <x:v>180</x:v>
      </x:c>
      <x:c r="B539" s="38" t="str">
        <x:v>第 4 年</x:v>
      </x:c>
      <x:c r="C539" s="38" t="str">
        <x:v>M12 獨立創作者：產品、研究、生活與傳承</x:v>
      </x:c>
      <x:c r="D539" s="38" t="n">
        <x:v>4</x:v>
      </x:c>
      <x:c r="E539" s="38" t="str">
        <x:v>優先順序：時間永遠不夠</x:v>
      </x:c>
      <x:c r="F539" s="38" t="n">
        <x:v>1</x:v>
      </x:c>
      <x:c r="G539" s="38" t="str">
        <x:v>概念入門／官方優先</x:v>
      </x:c>
      <x:c r="H539" s="38" t="str">
        <x:v>優先順序 時間永遠不夠 product design research presentation life skills beginner tutorial TED-Ed</x:v>
      </x:c>
      <x:c r="I539" s="38" t="str">
        <x:v>https://www.youtube.com/results?search_query=%E5%84%AA%E5%85%88%E9%A0%86%E5%BA%8F+%E6%99%82%E9%96%93%E6%B0%B8%E9%81%A0%E4%B8%8D%E5%A4%A0+product+design+research+presentation+life+skills+beginner+tutorial+TED-Ed</x:v>
      </x:c>
      <x:c r="J539" s="38" t="str">
        <x:v>課前暖身</x:v>
      </x:c>
      <x:c r="K539" s="38" t="str">
        <x:v>5–12 分鐘</x:v>
      </x:c>
      <x:c r="L539" s="38" t="str">
        <x:v>先建立直覺；看完能說出 3 個關鍵詞</x:v>
      </x:c>
      <x:c r="M539" s="38" t="str">
        <x:v>□ 未挑選</x:v>
      </x:c>
      <x:c r="N539" s="38" t="str"/>
      <x:c r="O539" s="38" t="str"/>
    </x:row>
    <x:row r="540">
      <x:c r="A540" s="38" t="n">
        <x:v>180</x:v>
      </x:c>
      <x:c r="B540" s="38" t="str">
        <x:v>第 4 年</x:v>
      </x:c>
      <x:c r="C540" s="38" t="str">
        <x:v>M12 獨立創作者：產品、研究、生活與傳承</x:v>
      </x:c>
      <x:c r="D540" s="38" t="n">
        <x:v>4</x:v>
      </x:c>
      <x:c r="E540" s="38" t="str">
        <x:v>優先順序：時間永遠不夠</x:v>
      </x:c>
      <x:c r="F540" s="38" t="n">
        <x:v>2</x:v>
      </x:c>
      <x:c r="G540" s="38" t="str">
        <x:v>跟做實作／專案導向</x:v>
      </x:c>
      <x:c r="H540" s="38" t="str">
        <x:v>優先順序 時間永遠不夠 使用影響/成本、Must/Should/Could 與 MVP hands on project for kids product design research presentation</x:v>
      </x:c>
      <x:c r="I540" s="38" t="str">
        <x:v>https://www.youtube.com/results?search_query=%E5%84%AA%E5%85%88%E9%A0%86%E5%BA%8F+%E6%99%82%E9%96%93%E6%B0%B8%E9%81%A0%E4%B8%8D%E5%A4%A0+%E4%BD%BF%E7%94%A8%E5%BD%B1%E9%9F%BF%2F%E6%88%90%E6%9C%AC%E3%80%81Must%2FShould%2FCould+%E8%88%87+MVP+hands+on+project+for+kids+product+design+research+presentation+life+skills</x:v>
      </x:c>
      <x:c r="J540" s="38" t="str">
        <x:v>課中實作參考</x:v>
      </x:c>
      <x:c r="K540" s="38" t="str">
        <x:v>8–20 分鐘</x:v>
      </x:c>
      <x:c r="L540" s="38" t="str">
        <x:v>優先找有畫面操作、步驟清楚、可暫停跟做的版本</x:v>
      </x:c>
      <x:c r="M540" s="38" t="str">
        <x:v>□ 未挑選</x:v>
      </x:c>
      <x:c r="N540" s="38" t="str"/>
      <x:c r="O540" s="38" t="str"/>
    </x:row>
    <x:row r="541">
      <x:c r="A541" s="38" t="n">
        <x:v>180</x:v>
      </x:c>
      <x:c r="B541" s="38" t="str">
        <x:v>第 4 年</x:v>
      </x:c>
      <x:c r="C541" s="38" t="str">
        <x:v>M12 獨立創作者：產品、研究、生活與傳承</x:v>
      </x:c>
      <x:c r="D541" s="38" t="n">
        <x:v>4</x:v>
      </x:c>
      <x:c r="E541" s="38" t="str">
        <x:v>優先順序：時間永遠不夠</x:v>
      </x:c>
      <x:c r="F541" s="38" t="n">
        <x:v>3</x:v>
      </x:c>
      <x:c r="G541" s="38" t="str">
        <x:v>中文延伸／倫理安全</x:v>
      </x:c>
      <x:c r="H541" s="38" t="str">
        <x:v>優先順序 時間永遠不夠 中文 教學 原理 安全 親子 product design research presentation life skills</x:v>
      </x:c>
      <x:c r="I541" s="38" t="str">
        <x:v>https://www.youtube.com/results?search_query=%E5%84%AA%E5%85%88%E9%A0%86%E5%BA%8F+%E6%99%82%E9%96%93%E6%B0%B8%E9%81%A0%E4%B8%8D%E5%A4%A0+%E4%B8%AD%E6%96%87+%E6%95%99%E5%AD%B8+%E5%8E%9F%E7%90%86+%E5%AE%89%E5%85%A8+%E8%A6%AA%E5%AD%90+product+design+research+presentation+life+skills</x:v>
      </x:c>
      <x:c r="J541" s="38" t="str">
        <x:v>課後延伸／親子討論</x:v>
      </x:c>
      <x:c r="K541" s="38" t="str">
        <x:v>6–15 分鐘</x:v>
      </x:c>
      <x:c r="L541" s="38" t="str">
        <x:v>補充應用、倫理、安全或真實案例；父子各說一個觀點</x:v>
      </x:c>
      <x:c r="M541" s="38" t="str">
        <x:v>□ 未挑選</x:v>
      </x:c>
      <x:c r="N541" s="38" t="str"/>
      <x:c r="O541" s="38" t="str"/>
    </x:row>
    <x:row r="542">
      <x:c r="A542" s="38" t="n">
        <x:v>181</x:v>
      </x:c>
      <x:c r="B542" s="38" t="str">
        <x:v>第 4 年</x:v>
      </x:c>
      <x:c r="C542" s="38" t="str">
        <x:v>M12 獨立創作者：產品、研究、生活與傳承</x:v>
      </x:c>
      <x:c r="D542" s="38" t="n">
        <x:v>5</x:v>
      </x:c>
      <x:c r="E542" s="38" t="str">
        <x:v>估算與拆工：大象一口一口吃</x:v>
      </x:c>
      <x:c r="F542" s="38" t="n">
        <x:v>1</x:v>
      </x:c>
      <x:c r="G542" s="38" t="str">
        <x:v>概念入門／官方優先</x:v>
      </x:c>
      <x:c r="H542" s="38" t="str">
        <x:v>估算與拆工 大象一口一口吃 product design research presentation life skills beginner tutorial TED-Ed</x:v>
      </x:c>
      <x:c r="I542" s="38" t="str">
        <x:v>https://www.youtube.com/results?search_query=%E4%BC%B0%E7%AE%97%E8%88%87%E6%8B%86%E5%B7%A5+%E5%A4%A7%E8%B1%A1%E4%B8%80%E5%8F%A3%E4%B8%80%E5%8F%A3%E5%90%83+product+design+research+presentation+life+skills+beginner+tutorial+TED-Ed</x:v>
      </x:c>
      <x:c r="J542" s="38" t="str">
        <x:v>課前暖身</x:v>
      </x:c>
      <x:c r="K542" s="38" t="str">
        <x:v>5–12 分鐘</x:v>
      </x:c>
      <x:c r="L542" s="38" t="str">
        <x:v>先建立直覺；看完能說出 3 個關鍵詞</x:v>
      </x:c>
      <x:c r="M542" s="38" t="str">
        <x:v>□ 未挑選</x:v>
      </x:c>
      <x:c r="N542" s="38" t="str"/>
      <x:c r="O542" s="38" t="str"/>
    </x:row>
    <x:row r="543">
      <x:c r="A543" s="38" t="n">
        <x:v>181</x:v>
      </x:c>
      <x:c r="B543" s="38" t="str">
        <x:v>第 4 年</x:v>
      </x:c>
      <x:c r="C543" s="38" t="str">
        <x:v>M12 獨立創作者：產品、研究、生活與傳承</x:v>
      </x:c>
      <x:c r="D543" s="38" t="n">
        <x:v>5</x:v>
      </x:c>
      <x:c r="E543" s="38" t="str">
        <x:v>估算與拆工：大象一口一口吃</x:v>
      </x:c>
      <x:c r="F543" s="38" t="n">
        <x:v>2</x:v>
      </x:c>
      <x:c r="G543" s="38" t="str">
        <x:v>跟做實作／專案導向</x:v>
      </x:c>
      <x:c r="H543" s="38" t="str">
        <x:v>估算與拆工 大象一口一口吃 把工作拆成 30 90 分鐘任務並標示依賴 hands on project for kids product design research</x:v>
      </x:c>
      <x:c r="I543" s="38" t="str">
        <x:v>https://www.youtube.com/results?search_query=%E4%BC%B0%E7%AE%97%E8%88%87%E6%8B%86%E5%B7%A5+%E5%A4%A7%E8%B1%A1%E4%B8%80%E5%8F%A3%E4%B8%80%E5%8F%A3%E5%90%83+%E6%8A%8A%E5%B7%A5%E4%BD%9C%E6%8B%86%E6%88%90+30+90+%E5%88%86%E9%90%98%E4%BB%BB%E5%8B%99%E4%B8%A6%E6%A8%99%E7%A4%BA%E4%BE%9D%E8%B3%B4+hands+on+project+for+kids+product+design+research+presentation+life+skills</x:v>
      </x:c>
      <x:c r="J543" s="38" t="str">
        <x:v>課中實作參考</x:v>
      </x:c>
      <x:c r="K543" s="38" t="str">
        <x:v>8–20 分鐘</x:v>
      </x:c>
      <x:c r="L543" s="38" t="str">
        <x:v>優先找有畫面操作、步驟清楚、可暫停跟做的版本</x:v>
      </x:c>
      <x:c r="M543" s="38" t="str">
        <x:v>□ 未挑選</x:v>
      </x:c>
      <x:c r="N543" s="38" t="str"/>
      <x:c r="O543" s="38" t="str"/>
    </x:row>
    <x:row r="544">
      <x:c r="A544" s="38" t="n">
        <x:v>181</x:v>
      </x:c>
      <x:c r="B544" s="38" t="str">
        <x:v>第 4 年</x:v>
      </x:c>
      <x:c r="C544" s="38" t="str">
        <x:v>M12 獨立創作者：產品、研究、生活與傳承</x:v>
      </x:c>
      <x:c r="D544" s="38" t="n">
        <x:v>5</x:v>
      </x:c>
      <x:c r="E544" s="38" t="str">
        <x:v>估算與拆工：大象一口一口吃</x:v>
      </x:c>
      <x:c r="F544" s="38" t="n">
        <x:v>3</x:v>
      </x:c>
      <x:c r="G544" s="38" t="str">
        <x:v>中文延伸／倫理安全</x:v>
      </x:c>
      <x:c r="H544" s="38" t="str">
        <x:v>估算與拆工 大象一口一口吃 中文 教學 原理 安全 親子 product design research presentation life skills</x:v>
      </x:c>
      <x:c r="I544" s="38" t="str">
        <x:v>https://www.youtube.com/results?search_query=%E4%BC%B0%E7%AE%97%E8%88%87%E6%8B%86%E5%B7%A5+%E5%A4%A7%E8%B1%A1%E4%B8%80%E5%8F%A3%E4%B8%80%E5%8F%A3%E5%90%83+%E4%B8%AD%E6%96%87+%E6%95%99%E5%AD%B8+%E5%8E%9F%E7%90%86+%E5%AE%89%E5%85%A8+%E8%A6%AA%E5%AD%90+product+design+research+presentation+life+skills</x:v>
      </x:c>
      <x:c r="J544" s="38" t="str">
        <x:v>課後延伸／親子討論</x:v>
      </x:c>
      <x:c r="K544" s="38" t="str">
        <x:v>6–15 分鐘</x:v>
      </x:c>
      <x:c r="L544" s="38" t="str">
        <x:v>補充應用、倫理、安全或真實案例；父子各說一個觀點</x:v>
      </x:c>
      <x:c r="M544" s="38" t="str">
        <x:v>□ 未挑選</x:v>
      </x:c>
      <x:c r="N544" s="38" t="str"/>
      <x:c r="O544" s="38" t="str"/>
    </x:row>
    <x:row r="545">
      <x:c r="A545" s="38" t="n">
        <x:v>182</x:v>
      </x:c>
      <x:c r="B545" s="38" t="str">
        <x:v>第 4 年</x:v>
      </x:c>
      <x:c r="C545" s="38" t="str">
        <x:v>M12 獨立創作者：產品、研究、生活與傳承</x:v>
      </x:c>
      <x:c r="D545" s="38" t="n">
        <x:v>6</x:v>
      </x:c>
      <x:c r="E545" s="38" t="str">
        <x:v>預算與金錢：每個選擇都有機會成本</x:v>
      </x:c>
      <x:c r="F545" s="38" t="n">
        <x:v>1</x:v>
      </x:c>
      <x:c r="G545" s="38" t="str">
        <x:v>概念入門／官方優先</x:v>
      </x:c>
      <x:c r="H545" s="38" t="str">
        <x:v>預算與金錢 每個選擇都有機會成本 product design research presentation life skills beginner tutorial TED-Ed</x:v>
      </x:c>
      <x:c r="I545" s="38" t="str">
        <x:v>https://www.youtube.com/results?search_query=%E9%A0%90%E7%AE%97%E8%88%87%E9%87%91%E9%8C%A2+%E6%AF%8F%E5%80%8B%E9%81%B8%E6%93%87%E9%83%BD%E6%9C%89%E6%A9%9F%E6%9C%83%E6%88%90%E6%9C%AC+product+design+research+presentation+life+skills+beginner+tutorial+TED-Ed</x:v>
      </x:c>
      <x:c r="J545" s="38" t="str">
        <x:v>課前暖身</x:v>
      </x:c>
      <x:c r="K545" s="38" t="str">
        <x:v>5–12 分鐘</x:v>
      </x:c>
      <x:c r="L545" s="38" t="str">
        <x:v>先建立直覺；看完能說出 3 個關鍵詞</x:v>
      </x:c>
      <x:c r="M545" s="38" t="str">
        <x:v>□ 未挑選</x:v>
      </x:c>
      <x:c r="N545" s="38" t="str"/>
      <x:c r="O545" s="38" t="str"/>
    </x:row>
    <x:row r="546">
      <x:c r="A546" s="38" t="n">
        <x:v>182</x:v>
      </x:c>
      <x:c r="B546" s="38" t="str">
        <x:v>第 4 年</x:v>
      </x:c>
      <x:c r="C546" s="38" t="str">
        <x:v>M12 獨立創作者：產品、研究、生活與傳承</x:v>
      </x:c>
      <x:c r="D546" s="38" t="n">
        <x:v>6</x:v>
      </x:c>
      <x:c r="E546" s="38" t="str">
        <x:v>預算與金錢：每個選擇都有機會成本</x:v>
      </x:c>
      <x:c r="F546" s="38" t="n">
        <x:v>2</x:v>
      </x:c>
      <x:c r="G546" s="38" t="str">
        <x:v>跟做實作／專案導向</x:v>
      </x:c>
      <x:c r="H546" s="38" t="str">
        <x:v>預算與金錢 每個選擇都有機會成本 理解預算、固定/變動成本、價格比較與總持有成本 hands on project for kids product design research presentation life skills</x:v>
      </x:c>
      <x:c r="I546" s="38" t="str">
        <x:v>https://www.youtube.com/results?search_query=%E9%A0%90%E7%AE%97%E8%88%87%E9%87%91%E9%8C%A2+%E6%AF%8F%E5%80%8B%E9%81%B8%E6%93%87%E9%83%BD%E6%9C%89%E6%A9%9F%E6%9C%83%E6%88%90%E6%9C%AC+%E7%90%86%E8%A7%A3%E9%A0%90%E7%AE%97%E3%80%81%E5%9B%BA%E5%AE%9A%2F%E8%AE%8A%E5%8B%95%E6%88%90%E6%9C%AC%E3%80%81%E5%83%B9%E6%A0%BC%E6%AF%94%E8%BC%83%E8%88%87%E7%B8%BD%E6%8C%81%E6%9C%89%E6%88%90%E6%9C%AC+hands+on+project+for+kids+product+design+research+presentation+life+skills</x:v>
      </x:c>
      <x:c r="J546" s="38" t="str">
        <x:v>課中實作參考</x:v>
      </x:c>
      <x:c r="K546" s="38" t="str">
        <x:v>8–20 分鐘</x:v>
      </x:c>
      <x:c r="L546" s="38" t="str">
        <x:v>優先找有畫面操作、步驟清楚、可暫停跟做的版本</x:v>
      </x:c>
      <x:c r="M546" s="38" t="str">
        <x:v>□ 未挑選</x:v>
      </x:c>
      <x:c r="N546" s="38" t="str"/>
      <x:c r="O546" s="38" t="str"/>
    </x:row>
    <x:row r="547">
      <x:c r="A547" s="38" t="n">
        <x:v>182</x:v>
      </x:c>
      <x:c r="B547" s="38" t="str">
        <x:v>第 4 年</x:v>
      </x:c>
      <x:c r="C547" s="38" t="str">
        <x:v>M12 獨立創作者：產品、研究、生活與傳承</x:v>
      </x:c>
      <x:c r="D547" s="38" t="n">
        <x:v>6</x:v>
      </x:c>
      <x:c r="E547" s="38" t="str">
        <x:v>預算與金錢：每個選擇都有機會成本</x:v>
      </x:c>
      <x:c r="F547" s="38" t="n">
        <x:v>3</x:v>
      </x:c>
      <x:c r="G547" s="38" t="str">
        <x:v>中文延伸／倫理安全</x:v>
      </x:c>
      <x:c r="H547" s="38" t="str">
        <x:v>預算與金錢 每個選擇都有機會成本 中文 教學 原理 安全 親子 product design research presentation life skills</x:v>
      </x:c>
      <x:c r="I547" s="38" t="str">
        <x:v>https://www.youtube.com/results?search_query=%E9%A0%90%E7%AE%97%E8%88%87%E9%87%91%E9%8C%A2+%E6%AF%8F%E5%80%8B%E9%81%B8%E6%93%87%E9%83%BD%E6%9C%89%E6%A9%9F%E6%9C%83%E6%88%90%E6%9C%AC+%E4%B8%AD%E6%96%87+%E6%95%99%E5%AD%B8+%E5%8E%9F%E7%90%86+%E5%AE%89%E5%85%A8+%E8%A6%AA%E5%AD%90+product+design+research+presentation+life+skills</x:v>
      </x:c>
      <x:c r="J547" s="38" t="str">
        <x:v>課後延伸／親子討論</x:v>
      </x:c>
      <x:c r="K547" s="38" t="str">
        <x:v>6–15 分鐘</x:v>
      </x:c>
      <x:c r="L547" s="38" t="str">
        <x:v>補充應用、倫理、安全或真實案例；父子各說一個觀點</x:v>
      </x:c>
      <x:c r="M547" s="38" t="str">
        <x:v>□ 未挑選</x:v>
      </x:c>
      <x:c r="N547" s="38" t="str"/>
      <x:c r="O547" s="38" t="str"/>
    </x:row>
    <x:row r="548">
      <x:c r="A548" s="38" t="n">
        <x:v>183</x:v>
      </x:c>
      <x:c r="B548" s="38" t="str">
        <x:v>第 4 年</x:v>
      </x:c>
      <x:c r="C548" s="38" t="str">
        <x:v>M12 獨立創作者：產品、研究、生活與傳承</x:v>
      </x:c>
      <x:c r="D548" s="38" t="n">
        <x:v>7</x:v>
      </x:c>
      <x:c r="E548" s="38" t="str">
        <x:v>時間管理：能量比行事曆更重要</x:v>
      </x:c>
      <x:c r="F548" s="38" t="n">
        <x:v>1</x:v>
      </x:c>
      <x:c r="G548" s="38" t="str">
        <x:v>概念入門／官方優先</x:v>
      </x:c>
      <x:c r="H548" s="38" t="str">
        <x:v>時間管理 能量比行事曆更重要 product design research presentation life skills beginner tutorial TED-Ed</x:v>
      </x:c>
      <x:c r="I548" s="38" t="str">
        <x:v>https://www.youtube.com/results?search_query=%E6%99%82%E9%96%93%E7%AE%A1%E7%90%86+%E8%83%BD%E9%87%8F%E6%AF%94%E8%A1%8C%E4%BA%8B%E6%9B%86%E6%9B%B4%E9%87%8D%E8%A6%81+product+design+research+presentation+life+skills+beginner+tutorial+TED-Ed</x:v>
      </x:c>
      <x:c r="J548" s="38" t="str">
        <x:v>課前暖身</x:v>
      </x:c>
      <x:c r="K548" s="38" t="str">
        <x:v>5–12 分鐘</x:v>
      </x:c>
      <x:c r="L548" s="38" t="str">
        <x:v>先建立直覺；看完能說出 3 個關鍵詞</x:v>
      </x:c>
      <x:c r="M548" s="38" t="str">
        <x:v>□ 未挑選</x:v>
      </x:c>
      <x:c r="N548" s="38" t="str"/>
      <x:c r="O548" s="38" t="str"/>
    </x:row>
    <x:row r="549">
      <x:c r="A549" s="38" t="n">
        <x:v>183</x:v>
      </x:c>
      <x:c r="B549" s="38" t="str">
        <x:v>第 4 年</x:v>
      </x:c>
      <x:c r="C549" s="38" t="str">
        <x:v>M12 獨立創作者：產品、研究、生活與傳承</x:v>
      </x:c>
      <x:c r="D549" s="38" t="n">
        <x:v>7</x:v>
      </x:c>
      <x:c r="E549" s="38" t="str">
        <x:v>時間管理：能量比行事曆更重要</x:v>
      </x:c>
      <x:c r="F549" s="38" t="n">
        <x:v>2</x:v>
      </x:c>
      <x:c r="G549" s="38" t="str">
        <x:v>跟做實作／專案導向</x:v>
      </x:c>
      <x:c r="H549" s="38" t="str">
        <x:v>時間管理 能量比行事曆更重要 建立專注時段、休息、緩衝與每週回顧 hands on project for kids product design research presentation life skills</x:v>
      </x:c>
      <x:c r="I549" s="38" t="str">
        <x:v>https://www.youtube.com/results?search_query=%E6%99%82%E9%96%93%E7%AE%A1%E7%90%86+%E8%83%BD%E9%87%8F%E6%AF%94%E8%A1%8C%E4%BA%8B%E6%9B%86%E6%9B%B4%E9%87%8D%E8%A6%81+%E5%BB%BA%E7%AB%8B%E5%B0%88%E6%B3%A8%E6%99%82%E6%AE%B5%E3%80%81%E4%BC%91%E6%81%AF%E3%80%81%E7%B7%A9%E8%A1%9D%E8%88%87%E6%AF%8F%E9%80%B1%E5%9B%9E%E9%A1%A7+hands+on+project+for+kids+product+design+research+presentation+life+skills</x:v>
      </x:c>
      <x:c r="J549" s="38" t="str">
        <x:v>課中實作參考</x:v>
      </x:c>
      <x:c r="K549" s="38" t="str">
        <x:v>8–20 分鐘</x:v>
      </x:c>
      <x:c r="L549" s="38" t="str">
        <x:v>優先找有畫面操作、步驟清楚、可暫停跟做的版本</x:v>
      </x:c>
      <x:c r="M549" s="38" t="str">
        <x:v>□ 未挑選</x:v>
      </x:c>
      <x:c r="N549" s="38" t="str"/>
      <x:c r="O549" s="38" t="str"/>
    </x:row>
    <x:row r="550">
      <x:c r="A550" s="38" t="n">
        <x:v>183</x:v>
      </x:c>
      <x:c r="B550" s="38" t="str">
        <x:v>第 4 年</x:v>
      </x:c>
      <x:c r="C550" s="38" t="str">
        <x:v>M12 獨立創作者：產品、研究、生活與傳承</x:v>
      </x:c>
      <x:c r="D550" s="38" t="n">
        <x:v>7</x:v>
      </x:c>
      <x:c r="E550" s="38" t="str">
        <x:v>時間管理：能量比行事曆更重要</x:v>
      </x:c>
      <x:c r="F550" s="38" t="n">
        <x:v>3</x:v>
      </x:c>
      <x:c r="G550" s="38" t="str">
        <x:v>中文延伸／倫理安全</x:v>
      </x:c>
      <x:c r="H550" s="38" t="str">
        <x:v>時間管理 能量比行事曆更重要 中文 教學 原理 安全 親子 product design research presentation life skills</x:v>
      </x:c>
      <x:c r="I550" s="38" t="str">
        <x:v>https://www.youtube.com/results?search_query=%E6%99%82%E9%96%93%E7%AE%A1%E7%90%86+%E8%83%BD%E9%87%8F%E6%AF%94%E8%A1%8C%E4%BA%8B%E6%9B%86%E6%9B%B4%E9%87%8D%E8%A6%81+%E4%B8%AD%E6%96%87+%E6%95%99%E5%AD%B8+%E5%8E%9F%E7%90%86+%E5%AE%89%E5%85%A8+%E8%A6%AA%E5%AD%90+product+design+research+presentation+life+skills</x:v>
      </x:c>
      <x:c r="J550" s="38" t="str">
        <x:v>課後延伸／親子討論</x:v>
      </x:c>
      <x:c r="K550" s="38" t="str">
        <x:v>6–15 分鐘</x:v>
      </x:c>
      <x:c r="L550" s="38" t="str">
        <x:v>補充應用、倫理、安全或真實案例；父子各說一個觀點</x:v>
      </x:c>
      <x:c r="M550" s="38" t="str">
        <x:v>□ 未挑選</x:v>
      </x:c>
      <x:c r="N550" s="38" t="str"/>
      <x:c r="O550" s="38" t="str"/>
    </x:row>
    <x:row r="551">
      <x:c r="A551" s="38" t="n">
        <x:v>184</x:v>
      </x:c>
      <x:c r="B551" s="38" t="str">
        <x:v>第 4 年</x:v>
      </x:c>
      <x:c r="C551" s="38" t="str">
        <x:v>M12 獨立創作者：產品、研究、生活與傳承</x:v>
      </x:c>
      <x:c r="D551" s="38" t="n">
        <x:v>8</x:v>
      </x:c>
      <x:c r="E551" s="38" t="str">
        <x:v>溝通與衝突：批評作品，不攻擊人</x:v>
      </x:c>
      <x:c r="F551" s="38" t="n">
        <x:v>1</x:v>
      </x:c>
      <x:c r="G551" s="38" t="str">
        <x:v>概念入門／官方優先</x:v>
      </x:c>
      <x:c r="H551" s="38" t="str">
        <x:v>溝通與衝突 批評作品，不攻擊人 product design research presentation life skills beginner tutorial TED-Ed</x:v>
      </x:c>
      <x:c r="I551" s="38" t="str">
        <x:v>https://www.youtube.com/results?search_query=%E6%BA%9D%E9%80%9A%E8%88%87%E8%A1%9D%E7%AA%81+%E6%89%B9%E8%A9%95%E4%BD%9C%E5%93%81%EF%BC%8C%E4%B8%8D%E6%94%BB%E6%93%8A%E4%BA%BA+product+design+research+presentation+life+skills+beginner+tutorial+TED-Ed</x:v>
      </x:c>
      <x:c r="J551" s="38" t="str">
        <x:v>課前暖身</x:v>
      </x:c>
      <x:c r="K551" s="38" t="str">
        <x:v>5–12 分鐘</x:v>
      </x:c>
      <x:c r="L551" s="38" t="str">
        <x:v>先建立直覺；看完能說出 3 個關鍵詞</x:v>
      </x:c>
      <x:c r="M551" s="38" t="str">
        <x:v>□ 未挑選</x:v>
      </x:c>
      <x:c r="N551" s="38" t="str"/>
      <x:c r="O551" s="38" t="str"/>
    </x:row>
    <x:row r="552">
      <x:c r="A552" s="38" t="n">
        <x:v>184</x:v>
      </x:c>
      <x:c r="B552" s="38" t="str">
        <x:v>第 4 年</x:v>
      </x:c>
      <x:c r="C552" s="38" t="str">
        <x:v>M12 獨立創作者：產品、研究、生活與傳承</x:v>
      </x:c>
      <x:c r="D552" s="38" t="n">
        <x:v>8</x:v>
      </x:c>
      <x:c r="E552" s="38" t="str">
        <x:v>溝通與衝突：批評作品，不攻擊人</x:v>
      </x:c>
      <x:c r="F552" s="38" t="n">
        <x:v>2</x:v>
      </x:c>
      <x:c r="G552" s="38" t="str">
        <x:v>跟做實作／專案導向</x:v>
      </x:c>
      <x:c r="H552" s="38" t="str">
        <x:v>溝通與衝突 批評作品，不攻擊人 使用事實 影響 需求 建議表達回饋 hands on project for kids product design research</x:v>
      </x:c>
      <x:c r="I552" s="38" t="str">
        <x:v>https://www.youtube.com/results?search_query=%E6%BA%9D%E9%80%9A%E8%88%87%E8%A1%9D%E7%AA%81+%E6%89%B9%E8%A9%95%E4%BD%9C%E5%93%81%EF%BC%8C%E4%B8%8D%E6%94%BB%E6%93%8A%E4%BA%BA+%E4%BD%BF%E7%94%A8%E4%BA%8B%E5%AF%A6+%E5%BD%B1%E9%9F%BF+%E9%9C%80%E6%B1%82+%E5%BB%BA%E8%AD%B0%E8%A1%A8%E9%81%94%E5%9B%9E%E9%A5%8B+hands+on+project+for+kids+product+design+research+presentation+life+skills</x:v>
      </x:c>
      <x:c r="J552" s="38" t="str">
        <x:v>課中實作參考</x:v>
      </x:c>
      <x:c r="K552" s="38" t="str">
        <x:v>8–20 分鐘</x:v>
      </x:c>
      <x:c r="L552" s="38" t="str">
        <x:v>優先找有畫面操作、步驟清楚、可暫停跟做的版本</x:v>
      </x:c>
      <x:c r="M552" s="38" t="str">
        <x:v>□ 未挑選</x:v>
      </x:c>
      <x:c r="N552" s="38" t="str"/>
      <x:c r="O552" s="38" t="str"/>
    </x:row>
    <x:row r="553">
      <x:c r="A553" s="38" t="n">
        <x:v>184</x:v>
      </x:c>
      <x:c r="B553" s="38" t="str">
        <x:v>第 4 年</x:v>
      </x:c>
      <x:c r="C553" s="38" t="str">
        <x:v>M12 獨立創作者：產品、研究、生活與傳承</x:v>
      </x:c>
      <x:c r="D553" s="38" t="n">
        <x:v>8</x:v>
      </x:c>
      <x:c r="E553" s="38" t="str">
        <x:v>溝通與衝突：批評作品，不攻擊人</x:v>
      </x:c>
      <x:c r="F553" s="38" t="n">
        <x:v>3</x:v>
      </x:c>
      <x:c r="G553" s="38" t="str">
        <x:v>中文延伸／倫理安全</x:v>
      </x:c>
      <x:c r="H553" s="38" t="str">
        <x:v>溝通與衝突 批評作品，不攻擊人 中文 教學 原理 安全 親子 product design research presentation life skills</x:v>
      </x:c>
      <x:c r="I553" s="38" t="str">
        <x:v>https://www.youtube.com/results?search_query=%E6%BA%9D%E9%80%9A%E8%88%87%E8%A1%9D%E7%AA%81+%E6%89%B9%E8%A9%95%E4%BD%9C%E5%93%81%EF%BC%8C%E4%B8%8D%E6%94%BB%E6%93%8A%E4%BA%BA+%E4%B8%AD%E6%96%87+%E6%95%99%E5%AD%B8+%E5%8E%9F%E7%90%86+%E5%AE%89%E5%85%A8+%E8%A6%AA%E5%AD%90+product+design+research+presentation+life+skills</x:v>
      </x:c>
      <x:c r="J553" s="38" t="str">
        <x:v>課後延伸／親子討論</x:v>
      </x:c>
      <x:c r="K553" s="38" t="str">
        <x:v>6–15 分鐘</x:v>
      </x:c>
      <x:c r="L553" s="38" t="str">
        <x:v>補充應用、倫理、安全或真實案例；父子各說一個觀點</x:v>
      </x:c>
      <x:c r="M553" s="38" t="str">
        <x:v>□ 未挑選</x:v>
      </x:c>
      <x:c r="N553" s="38" t="str"/>
      <x:c r="O553" s="38" t="str"/>
    </x:row>
    <x:row r="554">
      <x:c r="A554" s="38" t="n">
        <x:v>185</x:v>
      </x:c>
      <x:c r="B554" s="38" t="str">
        <x:v>第 4 年</x:v>
      </x:c>
      <x:c r="C554" s="38" t="str">
        <x:v>M12 獨立創作者：產品、研究、生活與傳承</x:v>
      </x:c>
      <x:c r="D554" s="38" t="n">
        <x:v>9</x:v>
      </x:c>
      <x:c r="E554" s="38" t="str">
        <x:v>急救與緊急思維</x:v>
      </x:c>
      <x:c r="F554" s="38" t="n">
        <x:v>1</x:v>
      </x:c>
      <x:c r="G554" s="38" t="str">
        <x:v>概念入門／官方優先</x:v>
      </x:c>
      <x:c r="H554" s="38" t="str">
        <x:v>急救與緊急思維 product design research presentation life skills beginner tutorial TED-Ed</x:v>
      </x:c>
      <x:c r="I554" s="38" t="str">
        <x:v>https://www.youtube.com/results?search_query=%E6%80%A5%E6%95%91%E8%88%87%E7%B7%8A%E6%80%A5%E6%80%9D%E7%B6%AD+product+design+research+presentation+life+skills+beginner+tutorial+TED-Ed</x:v>
      </x:c>
      <x:c r="J554" s="38" t="str">
        <x:v>課前暖身</x:v>
      </x:c>
      <x:c r="K554" s="38" t="str">
        <x:v>5–12 分鐘</x:v>
      </x:c>
      <x:c r="L554" s="38" t="str">
        <x:v>先建立直覺；看完能說出 3 個關鍵詞</x:v>
      </x:c>
      <x:c r="M554" s="38" t="str">
        <x:v>□ 未挑選</x:v>
      </x:c>
      <x:c r="N554" s="38" t="str"/>
      <x:c r="O554" s="38" t="str"/>
    </x:row>
    <x:row r="555">
      <x:c r="A555" s="38" t="n">
        <x:v>185</x:v>
      </x:c>
      <x:c r="B555" s="38" t="str">
        <x:v>第 4 年</x:v>
      </x:c>
      <x:c r="C555" s="38" t="str">
        <x:v>M12 獨立創作者：產品、研究、生活與傳承</x:v>
      </x:c>
      <x:c r="D555" s="38" t="n">
        <x:v>9</x:v>
      </x:c>
      <x:c r="E555" s="38" t="str">
        <x:v>急救與緊急思維</x:v>
      </x:c>
      <x:c r="F555" s="38" t="n">
        <x:v>2</x:v>
      </x:c>
      <x:c r="G555" s="38" t="str">
        <x:v>跟做實作／專案導向</x:v>
      </x:c>
      <x:c r="H555" s="38" t="str">
        <x:v>急救與緊急思維 先確保現場安全、求助、提供正確資訊；技能需正式訓練 hands on project for kids product design research presentation life skills</x:v>
      </x:c>
      <x:c r="I555" s="38" t="str">
        <x:v>https://www.youtube.com/results?search_query=%E6%80%A5%E6%95%91%E8%88%87%E7%B7%8A%E6%80%A5%E6%80%9D%E7%B6%AD+%E5%85%88%E7%A2%BA%E4%BF%9D%E7%8F%BE%E5%A0%B4%E5%AE%89%E5%85%A8%E3%80%81%E6%B1%82%E5%8A%A9%E3%80%81%E6%8F%90%E4%BE%9B%E6%AD%A3%E7%A2%BA%E8%B3%87%E8%A8%8A%EF%BC%9B%E6%8A%80%E8%83%BD%E9%9C%80%E6%AD%A3%E5%BC%8F%E8%A8%93%E7%B7%B4+hands+on+project+for+kids+product+design+research+presentation+life+skills</x:v>
      </x:c>
      <x:c r="J555" s="38" t="str">
        <x:v>課中實作參考</x:v>
      </x:c>
      <x:c r="K555" s="38" t="str">
        <x:v>8–20 分鐘</x:v>
      </x:c>
      <x:c r="L555" s="38" t="str">
        <x:v>優先找有畫面操作、步驟清楚、可暫停跟做的版本</x:v>
      </x:c>
      <x:c r="M555" s="38" t="str">
        <x:v>□ 未挑選</x:v>
      </x:c>
      <x:c r="N555" s="38" t="str"/>
      <x:c r="O555" s="38" t="str"/>
    </x:row>
    <x:row r="556">
      <x:c r="A556" s="38" t="n">
        <x:v>185</x:v>
      </x:c>
      <x:c r="B556" s="38" t="str">
        <x:v>第 4 年</x:v>
      </x:c>
      <x:c r="C556" s="38" t="str">
        <x:v>M12 獨立創作者：產品、研究、生活與傳承</x:v>
      </x:c>
      <x:c r="D556" s="38" t="n">
        <x:v>9</x:v>
      </x:c>
      <x:c r="E556" s="38" t="str">
        <x:v>急救與緊急思維</x:v>
      </x:c>
      <x:c r="F556" s="38" t="n">
        <x:v>3</x:v>
      </x:c>
      <x:c r="G556" s="38" t="str">
        <x:v>中文延伸／倫理安全</x:v>
      </x:c>
      <x:c r="H556" s="38" t="str">
        <x:v>急救與緊急思維 中文 教學 原理 安全 親子 product design research presentation life skills</x:v>
      </x:c>
      <x:c r="I556" s="38" t="str">
        <x:v>https://www.youtube.com/results?search_query=%E6%80%A5%E6%95%91%E8%88%87%E7%B7%8A%E6%80%A5%E6%80%9D%E7%B6%AD+%E4%B8%AD%E6%96%87+%E6%95%99%E5%AD%B8+%E5%8E%9F%E7%90%86+%E5%AE%89%E5%85%A8+%E8%A6%AA%E5%AD%90+product+design+research+presentation+life+skills</x:v>
      </x:c>
      <x:c r="J556" s="38" t="str">
        <x:v>課後延伸／親子討論</x:v>
      </x:c>
      <x:c r="K556" s="38" t="str">
        <x:v>6–15 分鐘</x:v>
      </x:c>
      <x:c r="L556" s="38" t="str">
        <x:v>補充應用、倫理、安全或真實案例；父子各說一個觀點</x:v>
      </x:c>
      <x:c r="M556" s="38" t="str">
        <x:v>□ 未挑選</x:v>
      </x:c>
      <x:c r="N556" s="38" t="str"/>
      <x:c r="O556" s="38" t="str"/>
    </x:row>
    <x:row r="557">
      <x:c r="A557" s="38" t="n">
        <x:v>186</x:v>
      </x:c>
      <x:c r="B557" s="38" t="str">
        <x:v>第 4 年</x:v>
      </x:c>
      <x:c r="C557" s="38" t="str">
        <x:v>M12 獨立創作者：產品、研究、生活與傳承</x:v>
      </x:c>
      <x:c r="D557" s="38" t="n">
        <x:v>10</x:v>
      </x:c>
      <x:c r="E557" s="38" t="str">
        <x:v>料理也是工程：量測、流程與衛生</x:v>
      </x:c>
      <x:c r="F557" s="38" t="n">
        <x:v>1</x:v>
      </x:c>
      <x:c r="G557" s="38" t="str">
        <x:v>概念入門／官方優先</x:v>
      </x:c>
      <x:c r="H557" s="38" t="str">
        <x:v>料理也是工程 量測、流程與衛生 product design research presentation life skills beginner tutorial TED-Ed</x:v>
      </x:c>
      <x:c r="I557" s="38" t="str">
        <x:v>https://www.youtube.com/results?search_query=%E6%96%99%E7%90%86%E4%B9%9F%E6%98%AF%E5%B7%A5%E7%A8%8B+%E9%87%8F%E6%B8%AC%E3%80%81%E6%B5%81%E7%A8%8B%E8%88%87%E8%A1%9B%E7%94%9F+product+design+research+presentation+life+skills+beginner+tutorial+TED-Ed</x:v>
      </x:c>
      <x:c r="J557" s="38" t="str">
        <x:v>課前暖身</x:v>
      </x:c>
      <x:c r="K557" s="38" t="str">
        <x:v>5–12 分鐘</x:v>
      </x:c>
      <x:c r="L557" s="38" t="str">
        <x:v>先建立直覺；看完能說出 3 個關鍵詞</x:v>
      </x:c>
      <x:c r="M557" s="38" t="str">
        <x:v>□ 未挑選</x:v>
      </x:c>
      <x:c r="N557" s="38" t="str"/>
      <x:c r="O557" s="38" t="str"/>
    </x:row>
    <x:row r="558">
      <x:c r="A558" s="38" t="n">
        <x:v>186</x:v>
      </x:c>
      <x:c r="B558" s="38" t="str">
        <x:v>第 4 年</x:v>
      </x:c>
      <x:c r="C558" s="38" t="str">
        <x:v>M12 獨立創作者：產品、研究、生活與傳承</x:v>
      </x:c>
      <x:c r="D558" s="38" t="n">
        <x:v>10</x:v>
      </x:c>
      <x:c r="E558" s="38" t="str">
        <x:v>料理也是工程：量測、流程與衛生</x:v>
      </x:c>
      <x:c r="F558" s="38" t="n">
        <x:v>2</x:v>
      </x:c>
      <x:c r="G558" s="38" t="str">
        <x:v>跟做實作／專案導向</x:v>
      </x:c>
      <x:c r="H558" s="38" t="str">
        <x:v>料理也是工程 量測、流程與衛生 理解重量、比例、溫度、計時、清潔與事後復盤 hands on project for kids product design research presentation life skills</x:v>
      </x:c>
      <x:c r="I558" s="38" t="str">
        <x:v>https://www.youtube.com/results?search_query=%E6%96%99%E7%90%86%E4%B9%9F%E6%98%AF%E5%B7%A5%E7%A8%8B+%E9%87%8F%E6%B8%AC%E3%80%81%E6%B5%81%E7%A8%8B%E8%88%87%E8%A1%9B%E7%94%9F+%E7%90%86%E8%A7%A3%E9%87%8D%E9%87%8F%E3%80%81%E6%AF%94%E4%BE%8B%E3%80%81%E6%BA%AB%E5%BA%A6%E3%80%81%E8%A8%88%E6%99%82%E3%80%81%E6%B8%85%E6%BD%94%E8%88%87%E4%BA%8B%E5%BE%8C%E5%BE%A9%E7%9B%A4+hands+on+project+for+kids+product+design+research+presentation+life+skills</x:v>
      </x:c>
      <x:c r="J558" s="38" t="str">
        <x:v>課中實作參考</x:v>
      </x:c>
      <x:c r="K558" s="38" t="str">
        <x:v>8–20 分鐘</x:v>
      </x:c>
      <x:c r="L558" s="38" t="str">
        <x:v>優先找有畫面操作、步驟清楚、可暫停跟做的版本</x:v>
      </x:c>
      <x:c r="M558" s="38" t="str">
        <x:v>□ 未挑選</x:v>
      </x:c>
      <x:c r="N558" s="38" t="str"/>
      <x:c r="O558" s="38" t="str"/>
    </x:row>
    <x:row r="559">
      <x:c r="A559" s="38" t="n">
        <x:v>186</x:v>
      </x:c>
      <x:c r="B559" s="38" t="str">
        <x:v>第 4 年</x:v>
      </x:c>
      <x:c r="C559" s="38" t="str">
        <x:v>M12 獨立創作者：產品、研究、生活與傳承</x:v>
      </x:c>
      <x:c r="D559" s="38" t="n">
        <x:v>10</x:v>
      </x:c>
      <x:c r="E559" s="38" t="str">
        <x:v>料理也是工程：量測、流程與衛生</x:v>
      </x:c>
      <x:c r="F559" s="38" t="n">
        <x:v>3</x:v>
      </x:c>
      <x:c r="G559" s="38" t="str">
        <x:v>中文延伸／倫理安全</x:v>
      </x:c>
      <x:c r="H559" s="38" t="str">
        <x:v>料理也是工程 量測、流程與衛生 中文 教學 原理 安全 親子 product design research presentation life skills</x:v>
      </x:c>
      <x:c r="I559" s="38" t="str">
        <x:v>https://www.youtube.com/results?search_query=%E6%96%99%E7%90%86%E4%B9%9F%E6%98%AF%E5%B7%A5%E7%A8%8B+%E9%87%8F%E6%B8%AC%E3%80%81%E6%B5%81%E7%A8%8B%E8%88%87%E8%A1%9B%E7%94%9F+%E4%B8%AD%E6%96%87+%E6%95%99%E5%AD%B8+%E5%8E%9F%E7%90%86+%E5%AE%89%E5%85%A8+%E8%A6%AA%E5%AD%90+product+design+research+presentation+life+skills</x:v>
      </x:c>
      <x:c r="J559" s="38" t="str">
        <x:v>課後延伸／親子討論</x:v>
      </x:c>
      <x:c r="K559" s="38" t="str">
        <x:v>6–15 分鐘</x:v>
      </x:c>
      <x:c r="L559" s="38" t="str">
        <x:v>補充應用、倫理、安全或真實案例；父子各說一個觀點</x:v>
      </x:c>
      <x:c r="M559" s="38" t="str">
        <x:v>□ 未挑選</x:v>
      </x:c>
      <x:c r="N559" s="38" t="str"/>
      <x:c r="O559" s="38" t="str"/>
    </x:row>
    <x:row r="560">
      <x:c r="A560" s="38" t="n">
        <x:v>187</x:v>
      </x:c>
      <x:c r="B560" s="38" t="str">
        <x:v>第 4 年</x:v>
      </x:c>
      <x:c r="C560" s="38" t="str">
        <x:v>M12 獨立創作者：產品、研究、生活與傳承</x:v>
      </x:c>
      <x:c r="D560" s="38" t="n">
        <x:v>11</x:v>
      </x:c>
      <x:c r="E560" s="38" t="str">
        <x:v>維修思維：先診斷，不要亂拆</x:v>
      </x:c>
      <x:c r="F560" s="38" t="n">
        <x:v>1</x:v>
      </x:c>
      <x:c r="G560" s="38" t="str">
        <x:v>概念入門／官方優先</x:v>
      </x:c>
      <x:c r="H560" s="38" t="str">
        <x:v>維修思維 先診斷，不要亂拆 product design research presentation life skills beginner tutorial TED-Ed</x:v>
      </x:c>
      <x:c r="I560" s="38" t="str">
        <x:v>https://www.youtube.com/results?search_query=%E7%B6%AD%E4%BF%AE%E6%80%9D%E7%B6%AD+%E5%85%88%E8%A8%BA%E6%96%B7%EF%BC%8C%E4%B8%8D%E8%A6%81%E4%BA%82%E6%8B%86+product+design+research+presentation+life+skills+beginner+tutorial+TED-Ed</x:v>
      </x:c>
      <x:c r="J560" s="38" t="str">
        <x:v>課前暖身</x:v>
      </x:c>
      <x:c r="K560" s="38" t="str">
        <x:v>5–12 分鐘</x:v>
      </x:c>
      <x:c r="L560" s="38" t="str">
        <x:v>先建立直覺；看完能說出 3 個關鍵詞</x:v>
      </x:c>
      <x:c r="M560" s="38" t="str">
        <x:v>□ 未挑選</x:v>
      </x:c>
      <x:c r="N560" s="38" t="str"/>
      <x:c r="O560" s="38" t="str"/>
    </x:row>
    <x:row r="561">
      <x:c r="A561" s="38" t="n">
        <x:v>187</x:v>
      </x:c>
      <x:c r="B561" s="38" t="str">
        <x:v>第 4 年</x:v>
      </x:c>
      <x:c r="C561" s="38" t="str">
        <x:v>M12 獨立創作者：產品、研究、生活與傳承</x:v>
      </x:c>
      <x:c r="D561" s="38" t="n">
        <x:v>11</x:v>
      </x:c>
      <x:c r="E561" s="38" t="str">
        <x:v>維修思維：先診斷，不要亂拆</x:v>
      </x:c>
      <x:c r="F561" s="38" t="n">
        <x:v>2</x:v>
      </x:c>
      <x:c r="G561" s="38" t="str">
        <x:v>跟做實作／專案導向</x:v>
      </x:c>
      <x:c r="H561" s="38" t="str">
        <x:v>維修思維 先診斷，不要亂拆 練習症狀、重現、隔離變因、查手冊與安全停損 hands on project for kids product design research presentation life skills</x:v>
      </x:c>
      <x:c r="I561" s="38" t="str">
        <x:v>https://www.youtube.com/results?search_query=%E7%B6%AD%E4%BF%AE%E6%80%9D%E7%B6%AD+%E5%85%88%E8%A8%BA%E6%96%B7%EF%BC%8C%E4%B8%8D%E8%A6%81%E4%BA%82%E6%8B%86+%E7%B7%B4%E7%BF%92%E7%97%87%E7%8B%80%E3%80%81%E9%87%8D%E7%8F%BE%E3%80%81%E9%9A%94%E9%9B%A2%E8%AE%8A%E5%9B%A0%E3%80%81%E6%9F%A5%E6%89%8B%E5%86%8A%E8%88%87%E5%AE%89%E5%85%A8%E5%81%9C%E6%90%8D+hands+on+project+for+kids+product+design+research+presentation+life+skills</x:v>
      </x:c>
      <x:c r="J561" s="38" t="str">
        <x:v>課中實作參考</x:v>
      </x:c>
      <x:c r="K561" s="38" t="str">
        <x:v>8–20 分鐘</x:v>
      </x:c>
      <x:c r="L561" s="38" t="str">
        <x:v>優先找有畫面操作、步驟清楚、可暫停跟做的版本</x:v>
      </x:c>
      <x:c r="M561" s="38" t="str">
        <x:v>□ 未挑選</x:v>
      </x:c>
      <x:c r="N561" s="38" t="str"/>
      <x:c r="O561" s="38" t="str"/>
    </x:row>
    <x:row r="562">
      <x:c r="A562" s="38" t="n">
        <x:v>187</x:v>
      </x:c>
      <x:c r="B562" s="38" t="str">
        <x:v>第 4 年</x:v>
      </x:c>
      <x:c r="C562" s="38" t="str">
        <x:v>M12 獨立創作者：產品、研究、生活與傳承</x:v>
      </x:c>
      <x:c r="D562" s="38" t="n">
        <x:v>11</x:v>
      </x:c>
      <x:c r="E562" s="38" t="str">
        <x:v>維修思維：先診斷，不要亂拆</x:v>
      </x:c>
      <x:c r="F562" s="38" t="n">
        <x:v>3</x:v>
      </x:c>
      <x:c r="G562" s="38" t="str">
        <x:v>中文延伸／倫理安全</x:v>
      </x:c>
      <x:c r="H562" s="38" t="str">
        <x:v>維修思維 先診斷，不要亂拆 中文 教學 原理 安全 親子 product design research presentation life skills</x:v>
      </x:c>
      <x:c r="I562" s="38" t="str">
        <x:v>https://www.youtube.com/results?search_query=%E7%B6%AD%E4%BF%AE%E6%80%9D%E7%B6%AD+%E5%85%88%E8%A8%BA%E6%96%B7%EF%BC%8C%E4%B8%8D%E8%A6%81%E4%BA%82%E6%8B%86+%E4%B8%AD%E6%96%87+%E6%95%99%E5%AD%B8+%E5%8E%9F%E7%90%86+%E5%AE%89%E5%85%A8+%E8%A6%AA%E5%AD%90+product+design+research+presentation+life+skills</x:v>
      </x:c>
      <x:c r="J562" s="38" t="str">
        <x:v>課後延伸／親子討論</x:v>
      </x:c>
      <x:c r="K562" s="38" t="str">
        <x:v>6–15 分鐘</x:v>
      </x:c>
      <x:c r="L562" s="38" t="str">
        <x:v>補充應用、倫理、安全或真實案例；父子各說一個觀點</x:v>
      </x:c>
      <x:c r="M562" s="38" t="str">
        <x:v>□ 未挑選</x:v>
      </x:c>
      <x:c r="N562" s="38" t="str"/>
      <x:c r="O562" s="38" t="str"/>
    </x:row>
    <x:row r="563">
      <x:c r="A563" s="38" t="n">
        <x:v>188</x:v>
      </x:c>
      <x:c r="B563" s="38" t="str">
        <x:v>第 4 年</x:v>
      </x:c>
      <x:c r="C563" s="38" t="str">
        <x:v>M12 獨立創作者：產品、研究、生活與傳承</x:v>
      </x:c>
      <x:c r="D563" s="38" t="n">
        <x:v>12</x:v>
      </x:c>
      <x:c r="E563" s="38" t="str">
        <x:v>研究方法：主張、證據、反例與限制</x:v>
      </x:c>
      <x:c r="F563" s="38" t="n">
        <x:v>1</x:v>
      </x:c>
      <x:c r="G563" s="38" t="str">
        <x:v>概念入門／官方優先</x:v>
      </x:c>
      <x:c r="H563" s="38" t="str">
        <x:v>研究方法 主張、證據、反例與限制 product design research presentation life skills beginner tutorial TED-Ed</x:v>
      </x:c>
      <x:c r="I563" s="38" t="str">
        <x:v>https://www.youtube.com/results?search_query=%E7%A0%94%E7%A9%B6%E6%96%B9%E6%B3%95+%E4%B8%BB%E5%BC%B5%E3%80%81%E8%AD%89%E6%93%9A%E3%80%81%E5%8F%8D%E4%BE%8B%E8%88%87%E9%99%90%E5%88%B6+product+design+research+presentation+life+skills+beginner+tutorial+TED-Ed</x:v>
      </x:c>
      <x:c r="J563" s="38" t="str">
        <x:v>課前暖身</x:v>
      </x:c>
      <x:c r="K563" s="38" t="str">
        <x:v>5–12 分鐘</x:v>
      </x:c>
      <x:c r="L563" s="38" t="str">
        <x:v>先建立直覺；看完能說出 3 個關鍵詞</x:v>
      </x:c>
      <x:c r="M563" s="38" t="str">
        <x:v>□ 未挑選</x:v>
      </x:c>
      <x:c r="N563" s="38" t="str"/>
      <x:c r="O563" s="38" t="str"/>
    </x:row>
    <x:row r="564">
      <x:c r="A564" s="38" t="n">
        <x:v>188</x:v>
      </x:c>
      <x:c r="B564" s="38" t="str">
        <x:v>第 4 年</x:v>
      </x:c>
      <x:c r="C564" s="38" t="str">
        <x:v>M12 獨立創作者：產品、研究、生活與傳承</x:v>
      </x:c>
      <x:c r="D564" s="38" t="n">
        <x:v>12</x:v>
      </x:c>
      <x:c r="E564" s="38" t="str">
        <x:v>研究方法：主張、證據、反例與限制</x:v>
      </x:c>
      <x:c r="F564" s="38" t="n">
        <x:v>2</x:v>
      </x:c>
      <x:c r="G564" s="38" t="str">
        <x:v>跟做實作／專案導向</x:v>
      </x:c>
      <x:c r="H564" s="38" t="str">
        <x:v>研究方法 主張、證據、反例與限制 建立研究問題、來源層級、筆記與可重現步驟 hands on project for kids product design research presentation life skills</x:v>
      </x:c>
      <x:c r="I564" s="38" t="str">
        <x:v>https://www.youtube.com/results?search_query=%E7%A0%94%E7%A9%B6%E6%96%B9%E6%B3%95+%E4%B8%BB%E5%BC%B5%E3%80%81%E8%AD%89%E6%93%9A%E3%80%81%E5%8F%8D%E4%BE%8B%E8%88%87%E9%99%90%E5%88%B6+%E5%BB%BA%E7%AB%8B%E7%A0%94%E7%A9%B6%E5%95%8F%E9%A1%8C%E3%80%81%E4%BE%86%E6%BA%90%E5%B1%A4%E7%B4%9A%E3%80%81%E7%AD%86%E8%A8%98%E8%88%87%E5%8F%AF%E9%87%8D%E7%8F%BE%E6%AD%A5%E9%A9%9F+hands+on+project+for+kids+product+design+research+presentation+life+skills</x:v>
      </x:c>
      <x:c r="J564" s="38" t="str">
        <x:v>課中實作參考</x:v>
      </x:c>
      <x:c r="K564" s="38" t="str">
        <x:v>8–20 分鐘</x:v>
      </x:c>
      <x:c r="L564" s="38" t="str">
        <x:v>優先找有畫面操作、步驟清楚、可暫停跟做的版本</x:v>
      </x:c>
      <x:c r="M564" s="38" t="str">
        <x:v>□ 未挑選</x:v>
      </x:c>
      <x:c r="N564" s="38" t="str"/>
      <x:c r="O564" s="38" t="str"/>
    </x:row>
    <x:row r="565">
      <x:c r="A565" s="38" t="n">
        <x:v>188</x:v>
      </x:c>
      <x:c r="B565" s="38" t="str">
        <x:v>第 4 年</x:v>
      </x:c>
      <x:c r="C565" s="38" t="str">
        <x:v>M12 獨立創作者：產品、研究、生活與傳承</x:v>
      </x:c>
      <x:c r="D565" s="38" t="n">
        <x:v>12</x:v>
      </x:c>
      <x:c r="E565" s="38" t="str">
        <x:v>研究方法：主張、證據、反例與限制</x:v>
      </x:c>
      <x:c r="F565" s="38" t="n">
        <x:v>3</x:v>
      </x:c>
      <x:c r="G565" s="38" t="str">
        <x:v>中文延伸／倫理安全</x:v>
      </x:c>
      <x:c r="H565" s="38" t="str">
        <x:v>研究方法 主張、證據、反例與限制 中文 教學 原理 安全 親子 product design research presentation life skills</x:v>
      </x:c>
      <x:c r="I565" s="38" t="str">
        <x:v>https://www.youtube.com/results?search_query=%E7%A0%94%E7%A9%B6%E6%96%B9%E6%B3%95+%E4%B8%BB%E5%BC%B5%E3%80%81%E8%AD%89%E6%93%9A%E3%80%81%E5%8F%8D%E4%BE%8B%E8%88%87%E9%99%90%E5%88%B6+%E4%B8%AD%E6%96%87+%E6%95%99%E5%AD%B8+%E5%8E%9F%E7%90%86+%E5%AE%89%E5%85%A8+%E8%A6%AA%E5%AD%90+product+design+research+presentation+life+skills</x:v>
      </x:c>
      <x:c r="J565" s="38" t="str">
        <x:v>課後延伸／親子討論</x:v>
      </x:c>
      <x:c r="K565" s="38" t="str">
        <x:v>6–15 分鐘</x:v>
      </x:c>
      <x:c r="L565" s="38" t="str">
        <x:v>補充應用、倫理、安全或真實案例；父子各說一個觀點</x:v>
      </x:c>
      <x:c r="M565" s="38" t="str">
        <x:v>□ 未挑選</x:v>
      </x:c>
      <x:c r="N565" s="38" t="str"/>
      <x:c r="O565" s="38" t="str"/>
    </x:row>
    <x:row r="566">
      <x:c r="A566" s="38" t="n">
        <x:v>189</x:v>
      </x:c>
      <x:c r="B566" s="38" t="str">
        <x:v>第 4 年</x:v>
      </x:c>
      <x:c r="C566" s="38" t="str">
        <x:v>M12 獨立創作者：產品、研究、生活與傳承</x:v>
      </x:c>
      <x:c r="D566" s="38" t="n">
        <x:v>13</x:v>
      </x:c>
      <x:c r="E566" s="38" t="str">
        <x:v>畢業專題提案</x:v>
      </x:c>
      <x:c r="F566" s="38" t="n">
        <x:v>1</x:v>
      </x:c>
      <x:c r="G566" s="38" t="str">
        <x:v>概念入門／官方優先</x:v>
      </x:c>
      <x:c r="H566" s="38" t="str">
        <x:v>畢業專題提案 product design research presentation life skills beginner tutorial TED-Ed</x:v>
      </x:c>
      <x:c r="I566" s="38" t="str">
        <x:v>https://www.youtube.com/results?search_query=%E7%95%A2%E6%A5%AD%E5%B0%88%E9%A1%8C%E6%8F%90%E6%A1%88+product+design+research+presentation+life+skills+beginner+tutorial+TED-Ed</x:v>
      </x:c>
      <x:c r="J566" s="38" t="str">
        <x:v>課前暖身</x:v>
      </x:c>
      <x:c r="K566" s="38" t="str">
        <x:v>5–12 分鐘</x:v>
      </x:c>
      <x:c r="L566" s="38" t="str">
        <x:v>先建立直覺；看完能說出 3 個關鍵詞</x:v>
      </x:c>
      <x:c r="M566" s="38" t="str">
        <x:v>□ 未挑選</x:v>
      </x:c>
      <x:c r="N566" s="38" t="str"/>
      <x:c r="O566" s="38" t="str"/>
    </x:row>
    <x:row r="567">
      <x:c r="A567" s="38" t="n">
        <x:v>189</x:v>
      </x:c>
      <x:c r="B567" s="38" t="str">
        <x:v>第 4 年</x:v>
      </x:c>
      <x:c r="C567" s="38" t="str">
        <x:v>M12 獨立創作者：產品、研究、生活與傳承</x:v>
      </x:c>
      <x:c r="D567" s="38" t="n">
        <x:v>13</x:v>
      </x:c>
      <x:c r="E567" s="38" t="str">
        <x:v>畢業專題提案</x:v>
      </x:c>
      <x:c r="F567" s="38" t="n">
        <x:v>2</x:v>
      </x:c>
      <x:c r="G567" s="38" t="str">
        <x:v>跟做實作／專案導向</x:v>
      </x:c>
      <x:c r="H567" s="38" t="str">
        <x:v>畢業專題提案 整合問題、使用者、方案、技術、風險、時程與驗收 hands on project for kids product design research presentation life skills</x:v>
      </x:c>
      <x:c r="I567" s="38" t="str">
        <x:v>https://www.youtube.com/results?search_query=%E7%95%A2%E6%A5%AD%E5%B0%88%E9%A1%8C%E6%8F%90%E6%A1%88+%E6%95%B4%E5%90%88%E5%95%8F%E9%A1%8C%E3%80%81%E4%BD%BF%E7%94%A8%E8%80%85%E3%80%81%E6%96%B9%E6%A1%88%E3%80%81%E6%8A%80%E8%A1%93%E3%80%81%E9%A2%A8%E9%9A%AA%E3%80%81%E6%99%82%E7%A8%8B%E8%88%87%E9%A9%97%E6%94%B6+hands+on+project+for+kids+product+design+research+presentation+life+skills</x:v>
      </x:c>
      <x:c r="J567" s="38" t="str">
        <x:v>課中實作參考</x:v>
      </x:c>
      <x:c r="K567" s="38" t="str">
        <x:v>8–20 分鐘</x:v>
      </x:c>
      <x:c r="L567" s="38" t="str">
        <x:v>優先找有畫面操作、步驟清楚、可暫停跟做的版本</x:v>
      </x:c>
      <x:c r="M567" s="38" t="str">
        <x:v>□ 未挑選</x:v>
      </x:c>
      <x:c r="N567" s="38" t="str"/>
      <x:c r="O567" s="38" t="str"/>
    </x:row>
    <x:row r="568">
      <x:c r="A568" s="38" t="n">
        <x:v>189</x:v>
      </x:c>
      <x:c r="B568" s="38" t="str">
        <x:v>第 4 年</x:v>
      </x:c>
      <x:c r="C568" s="38" t="str">
        <x:v>M12 獨立創作者：產品、研究、生活與傳承</x:v>
      </x:c>
      <x:c r="D568" s="38" t="n">
        <x:v>13</x:v>
      </x:c>
      <x:c r="E568" s="38" t="str">
        <x:v>畢業專題提案</x:v>
      </x:c>
      <x:c r="F568" s="38" t="n">
        <x:v>3</x:v>
      </x:c>
      <x:c r="G568" s="38" t="str">
        <x:v>中文延伸／倫理安全</x:v>
      </x:c>
      <x:c r="H568" s="38" t="str">
        <x:v>畢業專題提案 中文 教學 原理 安全 親子 product design research presentation life skills</x:v>
      </x:c>
      <x:c r="I568" s="38" t="str">
        <x:v>https://www.youtube.com/results?search_query=%E7%95%A2%E6%A5%AD%E5%B0%88%E9%A1%8C%E6%8F%90%E6%A1%88+%E4%B8%AD%E6%96%87+%E6%95%99%E5%AD%B8+%E5%8E%9F%E7%90%86+%E5%AE%89%E5%85%A8+%E8%A6%AA%E5%AD%90+product+design+research+presentation+life+skills</x:v>
      </x:c>
      <x:c r="J568" s="38" t="str">
        <x:v>課後延伸／親子討論</x:v>
      </x:c>
      <x:c r="K568" s="38" t="str">
        <x:v>6–15 分鐘</x:v>
      </x:c>
      <x:c r="L568" s="38" t="str">
        <x:v>補充應用、倫理、安全或真實案例；父子各說一個觀點</x:v>
      </x:c>
      <x:c r="M568" s="38" t="str">
        <x:v>□ 未挑選</x:v>
      </x:c>
      <x:c r="N568" s="38" t="str"/>
      <x:c r="O568" s="38" t="str"/>
    </x:row>
    <x:row r="569">
      <x:c r="A569" s="38" t="n">
        <x:v>190</x:v>
      </x:c>
      <x:c r="B569" s="38" t="str">
        <x:v>第 4 年</x:v>
      </x:c>
      <x:c r="C569" s="38" t="str">
        <x:v>M12 獨立創作者：產品、研究、生活與傳承</x:v>
      </x:c>
      <x:c r="D569" s="38" t="n">
        <x:v>14</x:v>
      </x:c>
      <x:c r="E569" s="38" t="str">
        <x:v>畢業專題 Build Sprint</x:v>
      </x:c>
      <x:c r="F569" s="38" t="n">
        <x:v>1</x:v>
      </x:c>
      <x:c r="G569" s="38" t="str">
        <x:v>概念入門／官方優先</x:v>
      </x:c>
      <x:c r="H569" s="38" t="str">
        <x:v>畢業專題 Build Sprint product design research presentation life skills beginner tutorial TED-Ed</x:v>
      </x:c>
      <x:c r="I569" s="38" t="str">
        <x:v>https://www.youtube.com/results?search_query=%E7%95%A2%E6%A5%AD%E5%B0%88%E9%A1%8C+Build+Sprint+product+design+research+presentation+life+skills+beginner+tutorial+TED-Ed</x:v>
      </x:c>
      <x:c r="J569" s="38" t="str">
        <x:v>課前暖身</x:v>
      </x:c>
      <x:c r="K569" s="38" t="str">
        <x:v>5–12 分鐘</x:v>
      </x:c>
      <x:c r="L569" s="38" t="str">
        <x:v>先建立直覺；看完能說出 3 個關鍵詞</x:v>
      </x:c>
      <x:c r="M569" s="38" t="str">
        <x:v>□ 未挑選</x:v>
      </x:c>
      <x:c r="N569" s="38" t="str"/>
      <x:c r="O569" s="38" t="str"/>
    </x:row>
    <x:row r="570">
      <x:c r="A570" s="38" t="n">
        <x:v>190</x:v>
      </x:c>
      <x:c r="B570" s="38" t="str">
        <x:v>第 4 年</x:v>
      </x:c>
      <x:c r="C570" s="38" t="str">
        <x:v>M12 獨立創作者：產品、研究、生活與傳承</x:v>
      </x:c>
      <x:c r="D570" s="38" t="n">
        <x:v>14</x:v>
      </x:c>
      <x:c r="E570" s="38" t="str">
        <x:v>畢業專題 Build Sprint</x:v>
      </x:c>
      <x:c r="F570" s="38" t="n">
        <x:v>2</x:v>
      </x:c>
      <x:c r="G570" s="38" t="str">
        <x:v>跟做實作／專案導向</x:v>
      </x:c>
      <x:c r="H570" s="38" t="str">
        <x:v>畢業專題 Build Sprint 以每日可展示成果推進，持續測試與紀錄決策 hands on project for kids product design research presentation life</x:v>
      </x:c>
      <x:c r="I570" s="38" t="str">
        <x:v>https://www.youtube.com/results?search_query=%E7%95%A2%E6%A5%AD%E5%B0%88%E9%A1%8C+Build+Sprint+%E4%BB%A5%E6%AF%8F%E6%97%A5%E5%8F%AF%E5%B1%95%E7%A4%BA%E6%88%90%E6%9E%9C%E6%8E%A8%E9%80%B2%EF%BC%8C%E6%8C%81%E7%BA%8C%E6%B8%AC%E8%A9%A6%E8%88%87%E7%B4%80%E9%8C%84%E6%B1%BA%E7%AD%96+hands+on+project+for+kids+product+design+research+presentation+life+skills</x:v>
      </x:c>
      <x:c r="J570" s="38" t="str">
        <x:v>課中實作參考</x:v>
      </x:c>
      <x:c r="K570" s="38" t="str">
        <x:v>8–20 分鐘</x:v>
      </x:c>
      <x:c r="L570" s="38" t="str">
        <x:v>優先找有畫面操作、步驟清楚、可暫停跟做的版本</x:v>
      </x:c>
      <x:c r="M570" s="38" t="str">
        <x:v>□ 未挑選</x:v>
      </x:c>
      <x:c r="N570" s="38" t="str"/>
      <x:c r="O570" s="38" t="str"/>
    </x:row>
    <x:row r="571">
      <x:c r="A571" s="38" t="n">
        <x:v>190</x:v>
      </x:c>
      <x:c r="B571" s="38" t="str">
        <x:v>第 4 年</x:v>
      </x:c>
      <x:c r="C571" s="38" t="str">
        <x:v>M12 獨立創作者：產品、研究、生活與傳承</x:v>
      </x:c>
      <x:c r="D571" s="38" t="n">
        <x:v>14</x:v>
      </x:c>
      <x:c r="E571" s="38" t="str">
        <x:v>畢業專題 Build Sprint</x:v>
      </x:c>
      <x:c r="F571" s="38" t="n">
        <x:v>3</x:v>
      </x:c>
      <x:c r="G571" s="38" t="str">
        <x:v>中文延伸／倫理安全</x:v>
      </x:c>
      <x:c r="H571" s="38" t="str">
        <x:v>畢業專題 Build Sprint 中文 教學 原理 安全 親子 product design research presentation life skills</x:v>
      </x:c>
      <x:c r="I571" s="38" t="str">
        <x:v>https://www.youtube.com/results?search_query=%E7%95%A2%E6%A5%AD%E5%B0%88%E9%A1%8C+Build+Sprint+%E4%B8%AD%E6%96%87+%E6%95%99%E5%AD%B8+%E5%8E%9F%E7%90%86+%E5%AE%89%E5%85%A8+%E8%A6%AA%E5%AD%90+product+design+research+presentation+life+skills</x:v>
      </x:c>
      <x:c r="J571" s="38" t="str">
        <x:v>課後延伸／親子討論</x:v>
      </x:c>
      <x:c r="K571" s="38" t="str">
        <x:v>6–15 分鐘</x:v>
      </x:c>
      <x:c r="L571" s="38" t="str">
        <x:v>補充應用、倫理、安全或真實案例；父子各說一個觀點</x:v>
      </x:c>
      <x:c r="M571" s="38" t="str">
        <x:v>□ 未挑選</x:v>
      </x:c>
      <x:c r="N571" s="38" t="str"/>
      <x:c r="O571" s="38" t="str"/>
    </x:row>
    <x:row r="572">
      <x:c r="A572" s="38" t="n">
        <x:v>191</x:v>
      </x:c>
      <x:c r="B572" s="38" t="str">
        <x:v>第 4 年</x:v>
      </x:c>
      <x:c r="C572" s="38" t="str">
        <x:v>M12 獨立創作者：產品、研究、生活與傳承</x:v>
      </x:c>
      <x:c r="D572" s="38" t="n">
        <x:v>15</x:v>
      </x:c>
      <x:c r="E572" s="38" t="str">
        <x:v>正式製作：文件、影片、來源與發布</x:v>
      </x:c>
      <x:c r="F572" s="38" t="n">
        <x:v>1</x:v>
      </x:c>
      <x:c r="G572" s="38" t="str">
        <x:v>概念入門／官方優先</x:v>
      </x:c>
      <x:c r="H572" s="38" t="str">
        <x:v>正式製作 文件、影片、來源與發布 product design research presentation life skills beginner tutorial TED-Ed</x:v>
      </x:c>
      <x:c r="I572" s="38" t="str">
        <x:v>https://www.youtube.com/results?search_query=%E6%AD%A3%E5%BC%8F%E8%A3%BD%E4%BD%9C+%E6%96%87%E4%BB%B6%E3%80%81%E5%BD%B1%E7%89%87%E3%80%81%E4%BE%86%E6%BA%90%E8%88%87%E7%99%BC%E5%B8%83+product+design+research+presentation+life+skills+beginner+tutorial+TED-Ed</x:v>
      </x:c>
      <x:c r="J572" s="38" t="str">
        <x:v>課前暖身</x:v>
      </x:c>
      <x:c r="K572" s="38" t="str">
        <x:v>5–12 分鐘</x:v>
      </x:c>
      <x:c r="L572" s="38" t="str">
        <x:v>先建立直覺；看完能說出 3 個關鍵詞</x:v>
      </x:c>
      <x:c r="M572" s="38" t="str">
        <x:v>□ 未挑選</x:v>
      </x:c>
      <x:c r="N572" s="38" t="str"/>
      <x:c r="O572" s="38" t="str"/>
    </x:row>
    <x:row r="573">
      <x:c r="A573" s="38" t="n">
        <x:v>191</x:v>
      </x:c>
      <x:c r="B573" s="38" t="str">
        <x:v>第 4 年</x:v>
      </x:c>
      <x:c r="C573" s="38" t="str">
        <x:v>M12 獨立創作者：產品、研究、生活與傳承</x:v>
      </x:c>
      <x:c r="D573" s="38" t="n">
        <x:v>15</x:v>
      </x:c>
      <x:c r="E573" s="38" t="str">
        <x:v>正式製作：文件、影片、來源與發布</x:v>
      </x:c>
      <x:c r="F573" s="38" t="n">
        <x:v>2</x:v>
      </x:c>
      <x:c r="G573" s="38" t="str">
        <x:v>跟做實作／專案導向</x:v>
      </x:c>
      <x:c r="H573" s="38" t="str">
        <x:v>正式製作 文件、影片、來源與發布 完成產品、教學、簡報、TTS、影片、README 與安全檢查 hands on project for kids product design research presentation life</x:v>
      </x:c>
      <x:c r="I573" s="38" t="str">
        <x:v>https://www.youtube.com/results?search_query=%E6%AD%A3%E5%BC%8F%E8%A3%BD%E4%BD%9C+%E6%96%87%E4%BB%B6%E3%80%81%E5%BD%B1%E7%89%87%E3%80%81%E4%BE%86%E6%BA%90%E8%88%87%E7%99%BC%E5%B8%83+%E5%AE%8C%E6%88%90%E7%94%A2%E5%93%81%E3%80%81%E6%95%99%E5%AD%B8%E3%80%81%E7%B0%A1%E5%A0%B1%E3%80%81TTS%E3%80%81%E5%BD%B1%E7%89%87%E3%80%81README+%E8%88%87%E5%AE%89%E5%85%A8%E6%AA%A2%E6%9F%A5+hands+on+project+for+kids+product+design+research+presentation+life+skills</x:v>
      </x:c>
      <x:c r="J573" s="38" t="str">
        <x:v>課中實作參考</x:v>
      </x:c>
      <x:c r="K573" s="38" t="str">
        <x:v>8–20 分鐘</x:v>
      </x:c>
      <x:c r="L573" s="38" t="str">
        <x:v>優先找有畫面操作、步驟清楚、可暫停跟做的版本</x:v>
      </x:c>
      <x:c r="M573" s="38" t="str">
        <x:v>□ 未挑選</x:v>
      </x:c>
      <x:c r="N573" s="38" t="str"/>
      <x:c r="O573" s="38" t="str"/>
    </x:row>
    <x:row r="574">
      <x:c r="A574" s="38" t="n">
        <x:v>191</x:v>
      </x:c>
      <x:c r="B574" s="38" t="str">
        <x:v>第 4 年</x:v>
      </x:c>
      <x:c r="C574" s="38" t="str">
        <x:v>M12 獨立創作者：產品、研究、生活與傳承</x:v>
      </x:c>
      <x:c r="D574" s="38" t="n">
        <x:v>15</x:v>
      </x:c>
      <x:c r="E574" s="38" t="str">
        <x:v>正式製作：文件、影片、來源與發布</x:v>
      </x:c>
      <x:c r="F574" s="38" t="n">
        <x:v>3</x:v>
      </x:c>
      <x:c r="G574" s="38" t="str">
        <x:v>中文延伸／倫理安全</x:v>
      </x:c>
      <x:c r="H574" s="38" t="str">
        <x:v>正式製作 文件、影片、來源與發布 中文 教學 原理 安全 親子 product design research presentation life skills</x:v>
      </x:c>
      <x:c r="I574" s="38" t="str">
        <x:v>https://www.youtube.com/results?search_query=%E6%AD%A3%E5%BC%8F%E8%A3%BD%E4%BD%9C+%E6%96%87%E4%BB%B6%E3%80%81%E5%BD%B1%E7%89%87%E3%80%81%E4%BE%86%E6%BA%90%E8%88%87%E7%99%BC%E5%B8%83+%E4%B8%AD%E6%96%87+%E6%95%99%E5%AD%B8+%E5%8E%9F%E7%90%86+%E5%AE%89%E5%85%A8+%E8%A6%AA%E5%AD%90+product+design+research+presentation+life+skills</x:v>
      </x:c>
      <x:c r="J574" s="38" t="str">
        <x:v>課後延伸／親子討論</x:v>
      </x:c>
      <x:c r="K574" s="38" t="str">
        <x:v>6–15 分鐘</x:v>
      </x:c>
      <x:c r="L574" s="38" t="str">
        <x:v>補充應用、倫理、安全或真實案例；父子各說一個觀點</x:v>
      </x:c>
      <x:c r="M574" s="38" t="str">
        <x:v>□ 未挑選</x:v>
      </x:c>
      <x:c r="N574" s="38" t="str"/>
      <x:c r="O574" s="38" t="str"/>
    </x:row>
    <x:row r="575">
      <x:c r="A575" s="38" t="n">
        <x:v>192</x:v>
      </x:c>
      <x:c r="B575" s="38" t="str">
        <x:v>第 4 年</x:v>
      </x:c>
      <x:c r="C575" s="38" t="str">
        <x:v>M12 獨立創作者：產品、研究、生活與傳承</x:v>
      </x:c>
      <x:c r="D575" s="38" t="n">
        <x:v>16</x:v>
      </x:c>
      <x:c r="E575" s="38" t="str">
        <x:v>畢業與 Teach-back：換孩子教爸爸</x:v>
      </x:c>
      <x:c r="F575" s="38" t="n">
        <x:v>1</x:v>
      </x:c>
      <x:c r="G575" s="38" t="str">
        <x:v>概念入門／官方優先</x:v>
      </x:c>
      <x:c r="H575" s="38" t="str">
        <x:v>畢業與 Teach back 換孩子教爸爸 product design research presentation life skills beginner tutorial TED-Ed</x:v>
      </x:c>
      <x:c r="I575" s="38" t="str">
        <x:v>https://www.youtube.com/results?search_query=%E7%95%A2%E6%A5%AD%E8%88%87+Teach+back+%E6%8F%9B%E5%AD%A9%E5%AD%90%E6%95%99%E7%88%B8%E7%88%B8+product+design+research+presentation+life+skills+beginner+tutorial+TED-Ed</x:v>
      </x:c>
      <x:c r="J575" s="38" t="str">
        <x:v>課前暖身</x:v>
      </x:c>
      <x:c r="K575" s="38" t="str">
        <x:v>5–12 分鐘</x:v>
      </x:c>
      <x:c r="L575" s="38" t="str">
        <x:v>先建立直覺；看完能說出 3 個關鍵詞</x:v>
      </x:c>
      <x:c r="M575" s="38" t="str">
        <x:v>□ 未挑選</x:v>
      </x:c>
      <x:c r="N575" s="38" t="str"/>
      <x:c r="O575" s="38" t="str"/>
    </x:row>
    <x:row r="576">
      <x:c r="A576" s="38" t="n">
        <x:v>192</x:v>
      </x:c>
      <x:c r="B576" s="38" t="str">
        <x:v>第 4 年</x:v>
      </x:c>
      <x:c r="C576" s="38" t="str">
        <x:v>M12 獨立創作者：產品、研究、生活與傳承</x:v>
      </x:c>
      <x:c r="D576" s="38" t="n">
        <x:v>16</x:v>
      </x:c>
      <x:c r="E576" s="38" t="str">
        <x:v>畢業與 Teach-back：換孩子教爸爸</x:v>
      </x:c>
      <x:c r="F576" s="38" t="n">
        <x:v>2</x:v>
      </x:c>
      <x:c r="G576" s="38" t="str">
        <x:v>跟做實作／專案導向</x:v>
      </x:c>
      <x:c r="H576" s="38" t="str">
        <x:v>畢業與 Teach back 換孩子教爸爸 以能教會別人作為真正掌握的驗收 hands on project for kids product design research presentation</x:v>
      </x:c>
      <x:c r="I576" s="38" t="str">
        <x:v>https://www.youtube.com/results?search_query=%E7%95%A2%E6%A5%AD%E8%88%87+Teach+back+%E6%8F%9B%E5%AD%A9%E5%AD%90%E6%95%99%E7%88%B8%E7%88%B8+%E4%BB%A5%E8%83%BD%E6%95%99%E6%9C%83%E5%88%A5%E4%BA%BA%E4%BD%9C%E7%82%BA%E7%9C%9F%E6%AD%A3%E6%8E%8C%E6%8F%A1%E7%9A%84%E9%A9%97%E6%94%B6+hands+on+project+for+kids+product+design+research+presentation+life+skills</x:v>
      </x:c>
      <x:c r="J576" s="38" t="str">
        <x:v>課中實作參考</x:v>
      </x:c>
      <x:c r="K576" s="38" t="str">
        <x:v>8–20 分鐘</x:v>
      </x:c>
      <x:c r="L576" s="38" t="str">
        <x:v>優先找有畫面操作、步驟清楚、可暫停跟做的版本</x:v>
      </x:c>
      <x:c r="M576" s="38" t="str">
        <x:v>□ 未挑選</x:v>
      </x:c>
      <x:c r="N576" s="38" t="str"/>
      <x:c r="O576" s="38" t="str"/>
    </x:row>
    <x:row r="577">
      <x:c r="A577" s="38" t="n">
        <x:v>192</x:v>
      </x:c>
      <x:c r="B577" s="38" t="str">
        <x:v>第 4 年</x:v>
      </x:c>
      <x:c r="C577" s="38" t="str">
        <x:v>M12 獨立創作者：產品、研究、生活與傳承</x:v>
      </x:c>
      <x:c r="D577" s="38" t="n">
        <x:v>16</x:v>
      </x:c>
      <x:c r="E577" s="38" t="str">
        <x:v>畢業與 Teach-back：換孩子教爸爸</x:v>
      </x:c>
      <x:c r="F577" s="38" t="n">
        <x:v>3</x:v>
      </x:c>
      <x:c r="G577" s="38" t="str">
        <x:v>中文延伸／倫理安全</x:v>
      </x:c>
      <x:c r="H577" s="38" t="str">
        <x:v>畢業與 Teach back 換孩子教爸爸 中文 教學 原理 安全 親子 product design research presentation life</x:v>
      </x:c>
      <x:c r="I577" s="38" t="str">
        <x:v>https://www.youtube.com/results?search_query=%E7%95%A2%E6%A5%AD%E8%88%87+Teach+back+%E6%8F%9B%E5%AD%A9%E5%AD%90%E6%95%99%E7%88%B8%E7%88%B8+%E4%B8%AD%E6%96%87+%E6%95%99%E5%AD%B8+%E5%8E%9F%E7%90%86+%E5%AE%89%E5%85%A8+%E8%A6%AA%E5%AD%90+product+design+research+presentation+life+skills</x:v>
      </x:c>
      <x:c r="J577" s="38" t="str">
        <x:v>課後延伸／親子討論</x:v>
      </x:c>
      <x:c r="K577" s="38" t="str">
        <x:v>6–15 分鐘</x:v>
      </x:c>
      <x:c r="L577" s="38" t="str">
        <x:v>補充應用、倫理、安全或真實案例；父子各說一個觀點</x:v>
      </x:c>
      <x:c r="M577" s="38" t="str">
        <x:v>□ 未挑選</x:v>
      </x:c>
      <x:c r="N577" s="38" t="str"/>
      <x:c r="O577" s="38" t="str"/>
    </x:row>
  </x:sheetData>
  <x:conditionalFormatting sqref="M2:M577">
    <x:cfRule type="expression" dxfId="6" priority="1">
      <x:formula>M2="✓ 已採用"</x:formula>
    </x:cfRule>
    <x:cfRule type="expression" dxfId="7" priority="2">
      <x:formula>M2="✕ 不適合"</x:formula>
    </x:cfRule>
  </x:conditionalFormatting>
  <x:dataValidations count="1">
    <x:dataValidation type="list" sqref="M2:M577">
      <x:formula1>"□ 未挑選,◐ 待試看,✓ 已採用,✕ 不適合"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6f51d0657542af"/>
  </x:tableParts>
</x:worksheet>
</file>